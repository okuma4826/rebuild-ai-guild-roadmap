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_習慣設計" sheetId="1" r:id="rId5"/>
    <sheet state="visible" name="02_週間時間割" sheetId="2" r:id="rId6"/>
    <sheet state="visible" name="03_日々の記録" sheetId="3" r:id="rId7"/>
    <sheet state="visible" name="04_行動変容ワーク" sheetId="4" r:id="rId8"/>
    <sheet state="visible" name="05_週報月報" sheetId="5" r:id="rId9"/>
  </sheets>
  <definedNames/>
  <calcPr/>
</workbook>
</file>

<file path=xl/sharedStrings.xml><?xml version="1.0" encoding="utf-8"?>
<sst xmlns="http://schemas.openxmlformats.org/spreadsheetml/2006/main" count="939" uniqueCount="433">
  <si>
    <t>01_習慣設計</t>
  </si>
  <si>
    <t>目的：最初に、学ぶ理由・習慣化の4法則・ご褒美・リカバリールールを決める。ここは毎日触る場所ではなく、迷った時に戻る土台です。</t>
  </si>
  <si>
    <t>初期設定</t>
  </si>
  <si>
    <t>3週間・3ヶ月ライン</t>
  </si>
  <si>
    <t>項目</t>
  </si>
  <si>
    <t>値</t>
  </si>
  <si>
    <t>補足</t>
  </si>
  <si>
    <t>ライン</t>
  </si>
  <si>
    <t>目的</t>
  </si>
  <si>
    <t>見るポイント</t>
  </si>
  <si>
    <t>開始日</t>
  </si>
  <si>
    <t>この日から2年分を記録します</t>
  </si>
  <si>
    <t>3週間</t>
  </si>
  <si>
    <t>脳に慣れさせる</t>
  </si>
  <si>
    <t>完璧ではなく毎日少し触れる。1行だけでも前進。</t>
  </si>
  <si>
    <t>終了日</t>
  </si>
  <si>
    <t>2028年6月30日まで記録します</t>
  </si>
  <si>
    <t>3ヶ月</t>
  </si>
  <si>
    <t>自分の習慣として定着させる</t>
  </si>
  <si>
    <t>2日連続で完全に離れない。崩れたら小さく戻る。</t>
  </si>
  <si>
    <t>記録日数</t>
  </si>
  <si>
    <t>開始日〜終了日までの日数</t>
  </si>
  <si>
    <t>週の学習予定時間（分）</t>
  </si>
  <si>
    <t>02_週間時間割で「学習」と入力したセル数 × 30分</t>
  </si>
  <si>
    <t>目標宣言｜自分の回答欄を埋める</t>
  </si>
  <si>
    <t>自分の回答</t>
  </si>
  <si>
    <t>記入例</t>
  </si>
  <si>
    <t>書き方のコツ</t>
  </si>
  <si>
    <t>私が学ぶ理由</t>
  </si>
  <si>
    <t>AI時代に、自分で考え、作り、仕事に活かせる力をつけたい。</t>
  </si>
  <si>
    <t>きれいな言葉より、自分の本音を書く</t>
  </si>
  <si>
    <t>3ヶ月後にできるようになりたいこと</t>
  </si>
  <si>
    <t>PC操作とAI活用に慣れ、日々の仕事の小さな作業を楽にできる。</t>
  </si>
  <si>
    <t>近いゴール。小さくてOK</t>
  </si>
  <si>
    <t>6ヶ月後にできるようになりたいこと</t>
  </si>
  <si>
    <t>自分のLP/HPを公開し、AIチームの基本的な使い方を身につける。</t>
  </si>
  <si>
    <t>ロードマップ前半の到達点</t>
  </si>
  <si>
    <t>1年後に目指したい状態</t>
  </si>
  <si>
    <t>自分で調べ、AIに相談しながら、簡単な業務改善を進められる。</t>
  </si>
  <si>
    <t>仕事や生活にどう活かすかを書く</t>
  </si>
  <si>
    <t>2年後に目指したい状態</t>
  </si>
  <si>
    <t>自分の仕事・事業・学びにAIを自然に組み込み、価値提供できる。</t>
  </si>
  <si>
    <t>長期の理想像を書く</t>
  </si>
  <si>
    <t>習慣化の4法則｜続けるための自分ルールを作る</t>
  </si>
  <si>
    <t>法則</t>
  </si>
  <si>
    <t>自分のルール</t>
  </si>
  <si>
    <t>1. はっきりさせる</t>
  </si>
  <si>
    <t>朝6時に机でPCを開き、教材を5分だけ進める。</t>
  </si>
  <si>
    <t>いつ・どこで・何をやるかを決める。曖昧な「勉強する」ではなく、行動が見える形にする。</t>
  </si>
  <si>
    <t>2. 魅力的にする</t>
  </si>
  <si>
    <t>AIを使って仕事や事業を進められるようになる。1週間頑張ったら好きなカフェに行く。</t>
  </si>
  <si>
    <t>続けるメリットと、ご褒美・楽しみを書く。しんどい時に「なぜ学ぶのか」と「続けた先の楽しみ」を思い出せるようにする。</t>
  </si>
  <si>
    <t>3. 簡単にする</t>
  </si>
  <si>
    <t>疲れた日はシートに一言だけ書けばOK。教材を1ページ開くだけでもOK。</t>
  </si>
  <si>
    <t>最初は成果より回数。ゼロにしない最低ラインを決める。</t>
  </si>
  <si>
    <t>4. 記録を取る</t>
  </si>
  <si>
    <t>学習時間、今日のふりかえり、詰まったことを残す。</t>
  </si>
  <si>
    <t>記録は責めるためではなく、前進している感覚を持つために使う。記録を見返して満足できるようにする。</t>
  </si>
  <si>
    <t>リカバリールール｜予定が崩れたときに戻るための設計</t>
  </si>
  <si>
    <t>場面</t>
  </si>
  <si>
    <t>日々の記録に書く例</t>
  </si>
  <si>
    <t>急な予定が入った</t>
  </si>
  <si>
    <t>予定を責めず、夜に1行だけ記録する。</t>
  </si>
  <si>
    <t>急な予定でできなかった。明日は5分だけ開く。</t>
  </si>
  <si>
    <t>疲れている</t>
  </si>
  <si>
    <t>学習を無理に進めず、休憩を優先して一言だけ書く。</t>
  </si>
  <si>
    <t>今日は疲れていたので休む。明日は教材を1ページ開く。</t>
  </si>
  <si>
    <t>挫折しそう</t>
  </si>
  <si>
    <t>教材を進めず、目標宣言を読み返すだけでOK。</t>
  </si>
  <si>
    <t>少ししんどい。明日は目標を読み返すところから戻る。</t>
  </si>
  <si>
    <t>3日空いた</t>
  </si>
  <si>
    <t>遅れを取り返そうとせず、次の日は5分だけにする。</t>
  </si>
  <si>
    <t>3日空いた。明日は5分だけPCを開く。</t>
  </si>
  <si>
    <t>1週間空いた</t>
  </si>
  <si>
    <t>週間時間割を作り直す。できなかった理由を責めずに見る。</t>
  </si>
  <si>
    <t>1週間空いたので、今週の時間割を作り直す。</t>
  </si>
  <si>
    <t>詰まって止まった</t>
  </si>
  <si>
    <t>詰まったことを1行書き、質問する前提にする。</t>
  </si>
  <si>
    <t>ここで詰まった。次回ここを質問する。</t>
  </si>
  <si>
    <t>02_週間時間割</t>
  </si>
  <si>
    <t>週間時間割｜0:00〜24:00を30分単位で可視化する</t>
  </si>
  <si>
    <t>時間割カテゴリ・色ルール</t>
  </si>
  <si>
    <t>週間時間割の自動集計</t>
  </si>
  <si>
    <t>時間</t>
  </si>
  <si>
    <t>月</t>
  </si>
  <si>
    <t>火</t>
  </si>
  <si>
    <t>水</t>
  </si>
  <si>
    <t>木</t>
  </si>
  <si>
    <t>金</t>
  </si>
  <si>
    <t>土</t>
  </si>
  <si>
    <t>日</t>
  </si>
  <si>
    <t>カテゴリ</t>
  </si>
  <si>
    <t>用途</t>
  </si>
  <si>
    <t>色</t>
  </si>
  <si>
    <t>入力方法</t>
  </si>
  <si>
    <t>セル数</t>
  </si>
  <si>
    <t>予定時間（分）</t>
  </si>
  <si>
    <t>予定時間（時間）</t>
  </si>
  <si>
    <t>00:00</t>
  </si>
  <si>
    <t>睡眠</t>
  </si>
  <si>
    <t>寝る時間</t>
  </si>
  <si>
    <t>灰色</t>
  </si>
  <si>
    <t>セルに「睡眠」と入力</t>
  </si>
  <si>
    <t>00:30</t>
  </si>
  <si>
    <t>仕事</t>
  </si>
  <si>
    <t>本業・仕事時間</t>
  </si>
  <si>
    <t>緑</t>
  </si>
  <si>
    <t>セルに「仕事」と入力</t>
  </si>
  <si>
    <t>01:00</t>
  </si>
  <si>
    <t>学習</t>
  </si>
  <si>
    <t>必ず学習に当てる時間</t>
  </si>
  <si>
    <t>濃い青</t>
  </si>
  <si>
    <t>セルに「学習」と入力</t>
  </si>
  <si>
    <t>01:30</t>
  </si>
  <si>
    <t>家事</t>
  </si>
  <si>
    <t>家事、身支度、食事準備など</t>
  </si>
  <si>
    <t>濃いオレンジ</t>
  </si>
  <si>
    <t>セルに「家事」と入力</t>
  </si>
  <si>
    <t>02:00</t>
  </si>
  <si>
    <t>移動</t>
  </si>
  <si>
    <t>通勤、移動、外出までの時間</t>
  </si>
  <si>
    <t>淡い黄色</t>
  </si>
  <si>
    <t>セルに「移動」と入力</t>
  </si>
  <si>
    <t>02:30</t>
  </si>
  <si>
    <t>趣味</t>
  </si>
  <si>
    <t>好きなこと、娯楽</t>
  </si>
  <si>
    <t>淡い紫</t>
  </si>
  <si>
    <t>セルに「趣味」と入力</t>
  </si>
  <si>
    <t>03:00</t>
  </si>
  <si>
    <t>休憩</t>
  </si>
  <si>
    <t>何もしない、休む</t>
  </si>
  <si>
    <t>白（文字で判別）</t>
  </si>
  <si>
    <t>セルに「休憩」と入力</t>
  </si>
  <si>
    <t>03:30</t>
  </si>
  <si>
    <t>空欄</t>
  </si>
  <si>
    <t>予定なし・空いている時間</t>
  </si>
  <si>
    <t>白（何も入力しない）</t>
  </si>
  <si>
    <t>何も入力しない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</si>
  <si>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</si>
  <si>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</si>
  <si>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</si>
  <si>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</si>
  <si>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</si>
  <si>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</si>
  <si>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</si>
  <si>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</si>
  <si>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</si>
  <si>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</si>
  <si>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</si>
  <si>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</si>
  <si>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</si>
  <si>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</si>
  <si>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</si>
  <si>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</si>
  <si>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</si>
  <si>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</si>
  <si>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</si>
  <si>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</si>
  <si>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</si>
  <si>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</si>
  <si>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</si>
  <si>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</si>
  <si>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</si>
  <si>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</si>
  <si>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</si>
  <si>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</si>
  <si>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</si>
  <si>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</si>
  <si>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</si>
  <si>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</si>
  <si>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</si>
  <si>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</si>
  <si>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</si>
  <si>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</si>
  <si>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</si>
  <si>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</si>
  <si>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</si>
  <si>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</si>
  <si>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03_日々の記録</t>
  </si>
  <si>
    <t>目的：毎日の入力は「学習時間（分）」「今日のふりかえり・明日の一歩」「詰まったこと」の3つだけ。記録は自分を責めるためではなく、前進を見える化するために使います。</t>
  </si>
  <si>
    <t>自動集計</t>
  </si>
  <si>
    <t>累計記録日数</t>
  </si>
  <si>
    <t>累計学習時間（分）</t>
  </si>
  <si>
    <t>累計学習時間（時間）</t>
  </si>
  <si>
    <t>今週の記録日数</t>
  </si>
  <si>
    <t>今週の学習時間（分）</t>
  </si>
  <si>
    <t>直近7日の記録日数</t>
  </si>
  <si>
    <t>今月の記録日数</t>
  </si>
  <si>
    <t>記録率</t>
  </si>
  <si>
    <t>入力例</t>
  </si>
  <si>
    <t>第5章を進めた。明日は目標宣言を読み返す。</t>
  </si>
  <si>
    <t>時間割の作り方が少し曖昧。</t>
  </si>
  <si>
    <t>今日はできなかった。明日は5分だけPCを開く。</t>
  </si>
  <si>
    <t>仕事で疲れていた。</t>
  </si>
  <si>
    <t>日付</t>
  </si>
  <si>
    <t>曜日</t>
  </si>
  <si>
    <t>何週目</t>
  </si>
  <si>
    <t>何ヶ月目</t>
  </si>
  <si>
    <t>学習時間（分）</t>
  </si>
  <si>
    <t>今日のふりかえり・明日の一歩</t>
  </si>
  <si>
    <t>詰まったこと</t>
  </si>
  <si>
    <t>記録済み</t>
  </si>
  <si>
    <t>04_行動変容ワーク｜必要なところだけ使う道具箱</t>
  </si>
  <si>
    <t>このシートは提出物ではありません。毎日すべて埋める必要もありません。自分の行動を変えたい時、学習が止まりそうな時、考えすぎて動けない時に、必要なブロックだけ使ってください。書くほど「なぜ止まるのか」「どう戻るか」「次に何をするか」が見えやすくなります。</t>
  </si>
  <si>
    <t>使い方｜上から順番に全部埋めなくてOK。必要なところだけ使う。</t>
  </si>
  <si>
    <t>使う場面</t>
  </si>
  <si>
    <t>おすすめブロック</t>
  </si>
  <si>
    <t>使い方</t>
  </si>
  <si>
    <t>何から始めればいいかわからない</t>
  </si>
  <si>
    <t>1・2・3</t>
  </si>
  <si>
    <t>変えたい行動を1つ決め、止まる原因を選び、最初の2分に小さくする</t>
  </si>
  <si>
    <t>疲れ・迷い・考えすぎで止まる</t>
  </si>
  <si>
    <t>2・4・5</t>
  </si>
  <si>
    <t>止まる原因を選び、if-thenと戻り方を決める</t>
  </si>
  <si>
    <t>時間の使い方を見直したい</t>
  </si>
  <si>
    <t>重要×緊急マトリクス</t>
  </si>
  <si>
    <t>今やっていることを4象限に仕分けし、第2領域に時間を寄せる</t>
  </si>
  <si>
    <t>重要×緊急マトリクス｜自分の行動を仕分けして、第2領域に時間を寄せる</t>
  </si>
  <si>
    <t>目的：今やっていることを「重要か」「緊急か」で分け、緊急ではないが重要な行動（第2領域）に時間を割けるようにする。第2領域は、学習・健康・仕組み化・準備・関係づくりなど、未来を良くする行動です。</t>
  </si>
  <si>
    <t>緊急ではない</t>
  </si>
  <si>
    <t>緊急</t>
  </si>
  <si>
    <t>重要</t>
  </si>
  <si>
    <t>第2領域｜増やす
学習 / 健康 / 仕組み化 / 準備 / 関係づくり
→ 最初に予定へ入れる</t>
  </si>
  <si>
    <t>第1領域｜減らす・予防する
締切 / トラブル / クレーム / 緊急対応
→ 早めの仕組み化で減らす</t>
  </si>
  <si>
    <t>重要ではない</t>
  </si>
  <si>
    <t>第4領域｜減らす・やめる
惰性SNS / 目的のない動画 / なんとなく作業
→ 先に削る</t>
  </si>
  <si>
    <t>第3領域｜任せる・断る
急な依頼 / 通知 / 他人都合の割り込み
→ 断る・任せる・後に回す</t>
  </si>
  <si>
    <t>行動の棚卸し｜今やっていることを4象限へ当てはめる</t>
  </si>
  <si>
    <t>やっていること</t>
  </si>
  <si>
    <t>重要?</t>
  </si>
  <si>
    <t>緊急?</t>
  </si>
  <si>
    <t>象限（自動）</t>
  </si>
  <si>
    <t>次の扱い（自動）</t>
  </si>
  <si>
    <t>メモ / 次の一歩</t>
  </si>
  <si>
    <t>入力エリア｜書きたい人が、書きたいところから、書きたい分だけ書く</t>
  </si>
  <si>
    <t>ブロック</t>
  </si>
  <si>
    <t>問い</t>
  </si>
  <si>
    <t>自分の記入</t>
  </si>
  <si>
    <t>1. 変えたい行動</t>
  </si>
  <si>
    <t>いま変えたい行動を1つだけ書く</t>
  </si>
  <si>
    <t>毎日15分、PCを開いてAI学習に触る</t>
  </si>
  <si>
    <t>複数にしない。まず1つに絞る。</t>
  </si>
  <si>
    <t>2. 止まる原因</t>
  </si>
  <si>
    <t>行動が止まりやすい原因を選ぶ</t>
  </si>
  <si>
    <t>選択式。近いものを選べばOK。</t>
  </si>
  <si>
    <t>2. 止まる原因メモ</t>
  </si>
  <si>
    <t>なぜ止まるのかを一言で書く</t>
  </si>
  <si>
    <t>仕事終わりに疲れてPCを開けない</t>
  </si>
  <si>
    <t>長文不要。1行でよい。</t>
  </si>
  <si>
    <t>3. 最初の2分</t>
  </si>
  <si>
    <t>これなら楽にできる最小行動は？</t>
  </si>
  <si>
    <t>教材を進めず、まずCursorを開くだけ</t>
  </si>
  <si>
    <t>行動のハードルを極限まで下げる。</t>
  </si>
  <si>
    <t>4. if-then 必須</t>
  </si>
  <si>
    <t>もし〇〇になったら、△△する</t>
  </si>
  <si>
    <t>もし疲れていたら、教材ではなくPCを開くだけにする</t>
  </si>
  <si>
    <t>やる気ではなく、反応を先に決める。</t>
  </si>
  <si>
    <t>4. if-then 任意1</t>
  </si>
  <si>
    <t>必要なら追加する</t>
  </si>
  <si>
    <t>もしSNSを開きそうになったら、先にDiscordに一言書く</t>
  </si>
  <si>
    <t>必要な人だけ。</t>
  </si>
  <si>
    <t>4. if-then 任意2</t>
  </si>
  <si>
    <t>もし2日空いたら、取り返そうとせず5分だけやる</t>
  </si>
  <si>
    <t>5. 考えすぎた時の戻り方</t>
  </si>
  <si>
    <t>頭がぐるぐるした時の戻り方を選ぶ</t>
  </si>
  <si>
    <t>今できることを1つだけやる</t>
  </si>
  <si>
    <t>不安を解決しようとせず、行動に戻る。</t>
  </si>
  <si>
    <t>5. 戻り方メモ</t>
  </si>
  <si>
    <t>自分用に一言で書く</t>
  </si>
  <si>
    <t>完璧にやろうとしたら、今できる1行だけ進める</t>
  </si>
  <si>
    <t>短くてよい。</t>
  </si>
  <si>
    <t>if-thenルールの説明｜迷った時・疲れた時・止まりそうな時の反応を先に決める</t>
  </si>
  <si>
    <t>説明</t>
  </si>
  <si>
    <t>if</t>
  </si>
  <si>
    <t>then</t>
  </si>
  <si>
    <t>ポイント</t>
  </si>
  <si>
    <t>if-thenとは「もし〇〇になったら、△△する」と事前に決める行動ルールです。</t>
  </si>
  <si>
    <t>もし疲れていたら</t>
  </si>
  <si>
    <t>教材を進めずPCを開くだけにする</t>
  </si>
  <si>
    <t>仕事後に止まりやすい</t>
  </si>
  <si>
    <t>完璧にやらない</t>
  </si>
  <si>
    <t>やる気に頼らず、迷った時の反応を先に決めます。</t>
  </si>
  <si>
    <t>もし何からやればいいかわからなかったら</t>
  </si>
  <si>
    <t>AIに『次の一歩を1つだけ出して』と聞く</t>
  </si>
  <si>
    <t>迷って止まる</t>
  </si>
  <si>
    <t>質問を小さくする</t>
  </si>
  <si>
    <t>環境設計もif-thenに含めます。独立欄は作りません。</t>
  </si>
  <si>
    <t>もしSNSを開きそうになったら</t>
  </si>
  <si>
    <t>スマホを別部屋に置いてからDiscordに一言書く</t>
  </si>
  <si>
    <t>スマホに流れる</t>
  </si>
  <si>
    <t>先に摩擦を作る</t>
  </si>
  <si>
    <t>失敗した時の戻り方もif-thenにできます。</t>
  </si>
  <si>
    <t>もし2日空いたら</t>
  </si>
  <si>
    <t>取り返そうとせず5分だけやる</t>
  </si>
  <si>
    <t>中断後の復帰</t>
  </si>
  <si>
    <t>再開を最優先</t>
  </si>
  <si>
    <t>完璧主義で止まる人は、雑に始めるルールを作ります。</t>
  </si>
  <si>
    <t>もし完璧に作ろうとして止まったら</t>
  </si>
  <si>
    <t>雑でいいので1行だけ書く</t>
  </si>
  <si>
    <t>完璧主義</t>
  </si>
  <si>
    <t>7割成果物ではなく1行でよい</t>
  </si>
  <si>
    <t>書くコツ</t>
  </si>
  <si>
    <t>ifは具体的に</t>
  </si>
  <si>
    <t>thenは2分以内にできる行動へ</t>
  </si>
  <si>
    <t>1つ決まれば十分</t>
  </si>
  <si>
    <t>必要な人だけ追加</t>
  </si>
  <si>
    <t>悪い例</t>
  </si>
  <si>
    <t>もし頑張れなかったら</t>
  </si>
  <si>
    <t>もっと頑張る</t>
  </si>
  <si>
    <t>抽象的すぎる</t>
  </si>
  <si>
    <t>行動に落ちない</t>
  </si>
  <si>
    <t>考えすぎた時の戻り方｜不安を消すより、認知の向け先を変えて行動に戻る</t>
  </si>
  <si>
    <t>戻り方</t>
  </si>
  <si>
    <t>意味</t>
  </si>
  <si>
    <t>例</t>
  </si>
  <si>
    <t>向いている状態</t>
  </si>
  <si>
    <t>メモ</t>
  </si>
  <si>
    <t>心配する時間を後で決める</t>
  </si>
  <si>
    <t>今すぐ考え続けない</t>
  </si>
  <si>
    <t>夜に不安になったら翌朝10時に考える</t>
  </si>
  <si>
    <t>未来の不安で止まる</t>
  </si>
  <si>
    <t>五感・身体感覚に戻る</t>
  </si>
  <si>
    <t>頭の中ではなく身体へ意識を戻す</t>
  </si>
  <si>
    <t>呼吸、手足の重さ、温度に意識を向ける</t>
  </si>
  <si>
    <t>頭がぐるぐるする</t>
  </si>
  <si>
    <t>コントロールできることに戻る</t>
  </si>
  <si>
    <t>変えられる行動へ戻す</t>
  </si>
  <si>
    <t>今日できる1つだけ選ぶ</t>
  </si>
  <si>
    <t>他人や未来に意識が向く</t>
  </si>
  <si>
    <t>小さな実行でループを切る</t>
  </si>
  <si>
    <t>1行書く、PCを開く、質問を1つ作る</t>
  </si>
  <si>
    <t>完璧主義で止まる</t>
  </si>
  <si>
    <t>必要なものと欲しいものを分ける</t>
  </si>
  <si>
    <t>不安を現実的な大きさに戻す</t>
  </si>
  <si>
    <t>今本当に必要な一歩だけ見る</t>
  </si>
  <si>
    <t>不足感が強い</t>
  </si>
  <si>
    <t>誰かに相談する</t>
  </si>
  <si>
    <t>一人で抱え込まない</t>
  </si>
  <si>
    <t>Discordや運営に詰まりを一言で出す</t>
  </si>
  <si>
    <t>自力で抜けない</t>
  </si>
  <si>
    <t>全部やらない</t>
  </si>
  <si>
    <t>自分が使いやすいものを1つ選ぶ</t>
  </si>
  <si>
    <t>入力を増やさない</t>
  </si>
  <si>
    <t>補足｜心地よい時間も先に守る。行動変容は根性で詰め込むことではない。</t>
  </si>
  <si>
    <t>考え方</t>
  </si>
  <si>
    <t>注意</t>
  </si>
  <si>
    <t>入力欄</t>
  </si>
  <si>
    <t>心地よい時間を先に守る</t>
  </si>
  <si>
    <t>休息・睡眠・散歩・食事・人と話す時間を削りすぎると学習は続きません。</t>
  </si>
  <si>
    <t>朝の散歩、睡眠、食事、軽いストレッチ</t>
  </si>
  <si>
    <t>学習時間だけを増やそうとしない</t>
  </si>
  <si>
    <t>作らない</t>
  </si>
  <si>
    <t>不安の扱い方を変える</t>
  </si>
  <si>
    <t>問題そのものを消すより、不安に巻き込まれた時の戻り方を決めます。</t>
  </si>
  <si>
    <t>考える時間を後に回す、身体感覚に戻る</t>
  </si>
  <si>
    <t>ストレス日記は入れない</t>
  </si>
  <si>
    <t>戻り方だけ選ぶ</t>
  </si>
  <si>
    <t>成果物管理はしない</t>
  </si>
  <si>
    <t>このシートは制作物やURLを管理する場所ではありません。</t>
  </si>
  <si>
    <t>MVP、Demo、提出先は別管理</t>
  </si>
  <si>
    <t>行動変容に集中する</t>
  </si>
  <si>
    <t>書く量は自由</t>
  </si>
  <si>
    <t>書きたい人が、書きたいところから、書きたい分だけ使います。</t>
  </si>
  <si>
    <t>1行だけでもOK</t>
  </si>
  <si>
    <t>提出物にしない</t>
  </si>
  <si>
    <t>自由</t>
  </si>
  <si>
    <t>運営の使い方</t>
  </si>
  <si>
    <t>本人が相談したい時の材料として見る。必須提出ではない。</t>
  </si>
  <si>
    <t>面談・相談時に参照</t>
  </si>
  <si>
    <t>詰めない</t>
  </si>
  <si>
    <t>削除した項目｜04では扱わないもの</t>
  </si>
  <si>
    <t>削除項目</t>
  </si>
  <si>
    <t>理由</t>
  </si>
  <si>
    <t>移すなら</t>
  </si>
  <si>
    <t>備考</t>
  </si>
  <si>
    <t>7割成果物 / Demo / URL</t>
  </si>
  <si>
    <t>行動変容ではなく成果物管理になるため</t>
  </si>
  <si>
    <t>週報の「今週やったこと」に含める</t>
  </si>
  <si>
    <t>独立欄にしない</t>
  </si>
  <si>
    <t>MVP / 提出先 / アプリ開発テーマ</t>
  </si>
  <si>
    <t>制作管理に寄りすぎるため</t>
  </si>
  <si>
    <t>別シートや教材側</t>
  </si>
  <si>
    <t>04から削除</t>
  </si>
  <si>
    <t>ストレス日記</t>
  </si>
  <si>
    <t>入力が重くなるため</t>
  </si>
  <si>
    <t>必要なら個人メモ</t>
  </si>
  <si>
    <t>04には入れない</t>
  </si>
  <si>
    <t>毎日の追加記録</t>
  </si>
  <si>
    <t>03_日々の記録と重複するため</t>
  </si>
  <si>
    <t>二重入力を避ける</t>
  </si>
  <si>
    <t>05_週報月報｜最小入力で、詰まりを見つけて立て直す</t>
  </si>
  <si>
    <t>週報_詰まり</t>
  </si>
  <si>
    <t>状態</t>
  </si>
  <si>
    <t>月報_状態</t>
  </si>
  <si>
    <t>目的：学習者が止まりそうな原因を最小入力で可視化し、運営が必要な支援を見つけ、本人が次の一歩を決めること。学習時間は03_日々の記録から自動集計し、週報では二重入力しません。成果物URLやDemo欄は作らず、「今週やったこと」に含めます。</t>
  </si>
  <si>
    <t>なし</t>
  </si>
  <si>
    <t>未着手</t>
  </si>
  <si>
    <t>時間が取れない</t>
  </si>
  <si>
    <t>順調</t>
  </si>
  <si>
    <t>進行中</t>
  </si>
  <si>
    <t>KPI</t>
  </si>
  <si>
    <t>見方</t>
  </si>
  <si>
    <t>内容が難しい</t>
  </si>
  <si>
    <t>少し危ない</t>
  </si>
  <si>
    <t>完了</t>
  </si>
  <si>
    <t>支援が必要な週</t>
  </si>
  <si>
    <t>状態が『止まりそう』または『相談したい』</t>
  </si>
  <si>
    <t>相談したい週</t>
  </si>
  <si>
    <t>状態が『相談したい』</t>
  </si>
  <si>
    <t>月報完了数</t>
  </si>
  <si>
    <t>環境構築で詰まった</t>
  </si>
  <si>
    <t>止まりそう</t>
  </si>
  <si>
    <t>何をすればいいか迷っている</t>
  </si>
  <si>
    <t>相談したい</t>
  </si>
  <si>
    <t>週報｜毎週1回。入力は「今週やったこと」「詰まり」「来週の一歩」「今の状態」だけで十分。</t>
  </si>
  <si>
    <t>月報｜月1回。今月の変化・詰まり・来月の一歩だけを見る。成果物管理ではなく立て直し用。</t>
  </si>
  <si>
    <t>モチベーションが落ちている</t>
  </si>
  <si>
    <t>週</t>
  </si>
  <si>
    <t>週開始日</t>
  </si>
  <si>
    <t>週終了日</t>
  </si>
  <si>
    <t>自動:学習時間(分)</t>
  </si>
  <si>
    <t>今週やったこと</t>
  </si>
  <si>
    <t>詰まり</t>
  </si>
  <si>
    <t>詰まりメモ</t>
  </si>
  <si>
    <t>来週の一歩</t>
  </si>
  <si>
    <t>今の状態</t>
  </si>
  <si>
    <t>運営メモ</t>
  </si>
  <si>
    <t>月開始日</t>
  </si>
  <si>
    <t>月終了日</t>
  </si>
  <si>
    <t>今月の変化</t>
  </si>
  <si>
    <t>詰まり・支援してほしいこと</t>
  </si>
  <si>
    <t>来月の一歩</t>
  </si>
  <si>
    <t>運営に相談したい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</si>
</sst>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/mm/dd"/>
    <numFmt numFmtId="165" formatCode="0.0%"/>
    <numFmt numFmtId="166" formatCode="yyyy-mm-dd"/>
    <numFmt numFmtId="167" formatCode="0.0"/>
  </numFmts>
  <fonts count="21">
    <font>
      <sz val="11.0"/>
      <color rgb="FF000000"/>
      <name val="Carlito"/>
      <scheme val="minor"/>
    </font>
    <font>
      <b/>
      <sz val="16.0"/>
      <color rgb="FFFFFFFF"/>
      <name val="Carlito"/>
    </font>
    <font>
      <sz val="11.0"/>
      <color theme="1"/>
      <name val="Carlito"/>
    </font>
    <font>
      <b/>
      <sz val="12.0"/>
      <color rgb="FF1E3A8A"/>
      <name val="Carlito"/>
    </font>
    <font>
      <b/>
      <sz val="11.0"/>
      <color rgb="FFFFFFFF"/>
      <name val="Carlito"/>
    </font>
    <font>
      <b/>
      <sz val="11.0"/>
      <color theme="1"/>
      <name val="Carlito"/>
    </font>
    <font>
      <sz val="12.0"/>
      <color rgb="FF1E3A8A"/>
      <name val="Carlito"/>
    </font>
    <font>
      <sz val="11.0"/>
      <color rgb="FFFFFFFF"/>
      <name val="Carlito"/>
    </font>
    <font>
      <b/>
      <color rgb="FF111827"/>
      <name val="Carlito"/>
    </font>
    <font/>
    <font>
      <b/>
      <color rgb="FFFFFFFF"/>
      <name val="Carlito"/>
    </font>
    <font>
      <b/>
      <sz val="11.0"/>
      <color rgb="FF374151"/>
      <name val="Carlito"/>
    </font>
    <font>
      <color rgb="FF000000"/>
      <name val="Carlito"/>
    </font>
    <font>
      <b/>
      <color rgb="FF000000"/>
      <name val="Carlito"/>
    </font>
    <font>
      <sz val="11.0"/>
      <color rgb="FF000000"/>
      <name val="Carlito"/>
    </font>
    <font>
      <sz val="10.0"/>
      <color rgb="FF064E3B"/>
      <name val="Carlito"/>
    </font>
    <font>
      <b/>
      <sz val="12.0"/>
      <color rgb="FFFFFFFF"/>
      <name val="Carlito"/>
    </font>
    <font>
      <b/>
      <sz val="11.0"/>
      <color rgb="FF0F172A"/>
      <name val="Carlito"/>
    </font>
    <font>
      <sz val="11.0"/>
      <color rgb="FF0F172A"/>
      <name val="Carlito"/>
    </font>
    <font>
      <b/>
      <sz val="11.0"/>
      <color rgb="FF000000"/>
      <name val="Carlito"/>
    </font>
    <font>
      <sz val="11.0"/>
      <color rgb="FF1F2937"/>
      <name val="Carlito"/>
    </font>
  </fonts>
  <fills count="32">
    <fill>
      <patternFill patternType="none"/>
    </fill>
    <fill>
      <patternFill patternType="lightGray"/>
    </fill>
    <fill>
      <patternFill patternType="solid">
        <fgColor rgb="FF1E3A8A"/>
        <bgColor rgb="FF1E3A8A"/>
      </patternFill>
    </fill>
    <fill>
      <patternFill patternType="solid">
        <fgColor rgb="FFF8FAFC"/>
        <bgColor rgb="FFF8FAFC"/>
      </patternFill>
    </fill>
    <fill>
      <patternFill patternType="solid">
        <fgColor rgb="FFDBEAFE"/>
        <bgColor rgb="FFDBEAFE"/>
      </patternFill>
    </fill>
    <fill>
      <patternFill patternType="solid">
        <fgColor rgb="FF2563EB"/>
        <bgColor rgb="FF2563EB"/>
      </patternFill>
    </fill>
    <fill>
      <patternFill patternType="solid">
        <fgColor rgb="FFEFF6FF"/>
        <bgColor rgb="FFEFF6FF"/>
      </patternFill>
    </fill>
    <fill>
      <patternFill patternType="solid">
        <fgColor rgb="FFF9FAFB"/>
        <bgColor rgb="FFF9FAFB"/>
      </patternFill>
    </fill>
    <fill>
      <patternFill patternType="solid">
        <fgColor rgb="FF111827"/>
        <bgColor rgb="FF111827"/>
      </patternFill>
    </fill>
    <fill>
      <patternFill patternType="solid">
        <fgColor rgb="FFD9E3F0"/>
        <bgColor rgb="FFD9E3F0"/>
      </patternFill>
    </fill>
    <fill>
      <patternFill patternType="solid">
        <fgColor rgb="FF0F172A"/>
        <bgColor rgb="FF0F172A"/>
      </patternFill>
    </fill>
    <fill>
      <patternFill patternType="solid">
        <fgColor rgb="FFF3F4F6"/>
        <bgColor rgb="FFF3F4F6"/>
      </patternFill>
    </fill>
    <fill>
      <patternFill patternType="solid">
        <fgColor rgb="FFD1D5DB"/>
        <bgColor rgb="FFD1D5DB"/>
      </patternFill>
    </fill>
    <fill>
      <patternFill patternType="solid">
        <fgColor rgb="FF6AA84F"/>
        <bgColor rgb="FF6AA84F"/>
      </patternFill>
    </fill>
    <fill>
      <patternFill patternType="solid">
        <fgColor rgb="FF4FC3F7"/>
        <bgColor rgb="FF4FC3F7"/>
      </patternFill>
    </fill>
    <fill>
      <patternFill patternType="solid">
        <fgColor rgb="FFE69138"/>
        <bgColor rgb="FFE69138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0F766E"/>
        <bgColor rgb="FF0F766E"/>
      </patternFill>
    </fill>
    <fill>
      <patternFill patternType="solid">
        <fgColor rgb="FFECFDF5"/>
        <bgColor rgb="FFECFDF5"/>
      </patternFill>
    </fill>
    <fill>
      <patternFill patternType="solid">
        <fgColor rgb="FF134E4A"/>
        <bgColor rgb="FF134E4A"/>
      </patternFill>
    </fill>
    <fill>
      <patternFill patternType="solid">
        <fgColor rgb="FFE2E8F0"/>
        <bgColor rgb="FFE2E8F0"/>
      </patternFill>
    </fill>
    <fill>
      <patternFill patternType="solid">
        <fgColor rgb="FFF0FDFA"/>
        <bgColor rgb="FFF0FDFA"/>
      </patternFill>
    </fill>
    <fill>
      <patternFill patternType="solid">
        <fgColor rgb="FFF1F5F9"/>
        <bgColor rgb="FFF1F5F9"/>
      </patternFill>
    </fill>
    <fill>
      <patternFill patternType="solid">
        <fgColor rgb="FFFEE2E2"/>
        <bgColor rgb="FFFEE2E2"/>
      </patternFill>
    </fill>
    <fill>
      <patternFill patternType="solid">
        <fgColor rgb="FFFEF3C7"/>
        <bgColor rgb="FFFEF3C7"/>
      </patternFill>
    </fill>
    <fill>
      <patternFill patternType="solid">
        <fgColor rgb="FFFFF7ED"/>
        <bgColor rgb="FFFFF7ED"/>
      </patternFill>
    </fill>
    <fill>
      <patternFill patternType="solid">
        <fgColor rgb="FF1F4E79"/>
        <bgColor rgb="FF1F4E79"/>
      </patternFill>
    </fill>
    <fill>
      <patternFill patternType="solid">
        <fgColor rgb="FFD9EAF7"/>
        <bgColor rgb="FFD9EAF7"/>
      </patternFill>
    </fill>
    <fill>
      <patternFill patternType="solid">
        <fgColor rgb="FF334155"/>
        <bgColor rgb="FF334155"/>
      </patternFill>
    </fill>
    <fill>
      <patternFill patternType="solid">
        <fgColor rgb="FF5B9BD5"/>
        <bgColor rgb="FF5B9BD5"/>
      </patternFill>
    </fill>
  </fills>
  <borders count="6">
    <border/>
    <border>
      <left style="thin">
        <color rgb="FFD1D5DB"/>
      </left>
      <top style="thin">
        <color rgb="FFD1D5DB"/>
      </top>
      <bottom style="thin">
        <color rgb="FFD1D5DB"/>
      </bottom>
    </border>
    <border>
      <top style="thin">
        <color rgb="FFD1D5DB"/>
      </top>
      <bottom style="thin">
        <color rgb="FFD1D5DB"/>
      </bottom>
    </border>
    <border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shrinkToFit="0" vertical="top" wrapText="1"/>
    </xf>
    <xf borderId="0" fillId="3" fontId="2" numFmtId="0" xfId="0" applyAlignment="1" applyFill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2" numFmtId="0" xfId="0" applyFont="1"/>
    <xf borderId="0" fillId="4" fontId="3" numFmtId="0" xfId="0" applyAlignment="1" applyFill="1" applyFont="1">
      <alignment horizontal="left" shrinkToFit="0" vertical="top" wrapText="1"/>
    </xf>
    <xf borderId="0" fillId="4" fontId="3" numFmtId="0" xfId="0" applyAlignment="1" applyFont="1">
      <alignment horizontal="left" vertical="center"/>
    </xf>
    <xf borderId="0" fillId="5" fontId="4" numFmtId="0" xfId="0" applyAlignment="1" applyFill="1" applyFont="1">
      <alignment horizontal="center" shrinkToFit="0" vertical="top" wrapText="1"/>
    </xf>
    <xf borderId="0" fillId="5" fontId="4" numFmtId="0" xfId="0" applyAlignment="1" applyFont="1">
      <alignment horizontal="center" shrinkToFit="0" vertical="center" wrapText="1"/>
    </xf>
    <xf borderId="0" fillId="3" fontId="5" numFmtId="0" xfId="0" applyAlignment="1" applyFont="1">
      <alignment shrinkToFit="0" vertical="top" wrapText="1"/>
    </xf>
    <xf borderId="0" fillId="6" fontId="2" numFmtId="164" xfId="0" applyAlignment="1" applyFill="1" applyFont="1" applyNumberFormat="1">
      <alignment shrinkToFit="0" vertical="top" wrapText="1"/>
    </xf>
    <xf borderId="0" fillId="7" fontId="2" numFmtId="0" xfId="0" applyAlignment="1" applyFill="1" applyFont="1">
      <alignment shrinkToFit="0" vertical="top" wrapText="1"/>
    </xf>
    <xf borderId="0" fillId="6" fontId="2" numFmtId="0" xfId="0" applyAlignment="1" applyFont="1">
      <alignment shrinkToFit="0" vertical="top" wrapText="1"/>
    </xf>
    <xf borderId="0" fillId="0" fontId="6" numFmtId="0" xfId="0" applyAlignment="1" applyFont="1">
      <alignment horizontal="left" vertical="center"/>
    </xf>
    <xf borderId="0" fillId="0" fontId="7" numFmtId="0" xfId="0" applyAlignment="1" applyFont="1">
      <alignment horizontal="center" shrinkToFit="0" vertical="center" wrapText="1"/>
    </xf>
    <xf borderId="0" fillId="8" fontId="1" numFmtId="0" xfId="0" applyAlignment="1" applyFill="1" applyFont="1">
      <alignment horizontal="left" vertical="center"/>
    </xf>
    <xf borderId="1" fillId="9" fontId="8" numFmtId="0" xfId="0" applyAlignment="1" applyBorder="1" applyFill="1" applyFont="1">
      <alignment horizontal="left" shrinkToFit="0" vertical="center" wrapText="1"/>
    </xf>
    <xf borderId="2" fillId="0" fontId="9" numFmtId="0" xfId="0" applyBorder="1" applyFont="1"/>
    <xf borderId="3" fillId="0" fontId="9" numFmtId="0" xfId="0" applyBorder="1" applyFont="1"/>
    <xf borderId="4" fillId="10" fontId="10" numFmtId="0" xfId="0" applyAlignment="1" applyBorder="1" applyFill="1" applyFont="1">
      <alignment horizontal="center" shrinkToFit="0" vertical="center" wrapText="1"/>
    </xf>
    <xf borderId="4" fillId="11" fontId="11" numFmtId="0" xfId="0" applyAlignment="1" applyBorder="1" applyFill="1" applyFont="1">
      <alignment horizontal="center" shrinkToFit="0" vertical="center" wrapText="1"/>
    </xf>
    <xf borderId="4" fillId="12" fontId="12" numFmtId="0" xfId="0" applyAlignment="1" applyBorder="1" applyFill="1" applyFont="1">
      <alignment horizontal="center" shrinkToFit="0" vertical="center" wrapText="1"/>
    </xf>
    <xf borderId="4" fillId="12" fontId="13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left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4" fillId="13" fontId="13" numFmtId="0" xfId="0" applyAlignment="1" applyBorder="1" applyFill="1" applyFont="1">
      <alignment horizontal="center" shrinkToFit="0" vertical="center" wrapText="1"/>
    </xf>
    <xf borderId="4" fillId="14" fontId="13" numFmtId="0" xfId="0" applyAlignment="1" applyBorder="1" applyFill="1" applyFont="1">
      <alignment horizontal="center" shrinkToFit="0" vertical="center" wrapText="1"/>
    </xf>
    <xf borderId="4" fillId="15" fontId="13" numFmtId="0" xfId="0" applyAlignment="1" applyBorder="1" applyFill="1" applyFont="1">
      <alignment horizontal="center" shrinkToFit="0" vertical="center" wrapText="1"/>
    </xf>
    <xf borderId="4" fillId="16" fontId="13" numFmtId="0" xfId="0" applyAlignment="1" applyBorder="1" applyFill="1" applyFont="1">
      <alignment horizontal="center" shrinkToFit="0" vertical="center" wrapText="1"/>
    </xf>
    <xf borderId="4" fillId="17" fontId="13" numFmtId="0" xfId="0" applyAlignment="1" applyBorder="1" applyFill="1" applyFont="1">
      <alignment horizontal="center" shrinkToFit="0" vertical="center" wrapText="1"/>
    </xf>
    <xf borderId="4" fillId="18" fontId="13" numFmtId="0" xfId="0" applyAlignment="1" applyBorder="1" applyFill="1" applyFont="1">
      <alignment horizontal="center" shrinkToFit="0" vertical="center" wrapText="1"/>
    </xf>
    <xf borderId="4" fillId="15" fontId="12" numFmtId="0" xfId="0" applyAlignment="1" applyBorder="1" applyFont="1">
      <alignment horizontal="center" shrinkToFit="0" vertical="center" wrapText="1"/>
    </xf>
    <xf borderId="4" fillId="16" fontId="12" numFmtId="0" xfId="0" applyAlignment="1" applyBorder="1" applyFont="1">
      <alignment horizontal="center" shrinkToFit="0" vertical="center" wrapText="1"/>
    </xf>
    <xf borderId="4" fillId="17" fontId="12" numFmtId="0" xfId="0" applyAlignment="1" applyBorder="1" applyFont="1">
      <alignment horizontal="center" shrinkToFit="0" vertical="center" wrapText="1"/>
    </xf>
    <xf borderId="4" fillId="13" fontId="12" numFmtId="0" xfId="0" applyAlignment="1" applyBorder="1" applyFont="1">
      <alignment horizontal="center" shrinkToFit="0" vertical="center" wrapText="1"/>
    </xf>
    <xf borderId="4" fillId="18" fontId="12" numFmtId="0" xfId="0" applyAlignment="1" applyBorder="1" applyFont="1">
      <alignment horizontal="center" shrinkToFit="0" vertical="center" wrapText="1"/>
    </xf>
    <xf borderId="0" fillId="0" fontId="12" numFmtId="0" xfId="0" applyFont="1"/>
    <xf borderId="0" fillId="6" fontId="5" numFmtId="0" xfId="0" applyAlignment="1" applyFont="1">
      <alignment horizontal="center" shrinkToFit="0" vertical="top" wrapText="1"/>
    </xf>
    <xf borderId="0" fillId="6" fontId="5" numFmtId="0" xfId="0" applyAlignment="1" applyFont="1">
      <alignment horizontal="center"/>
    </xf>
    <xf borderId="0" fillId="6" fontId="5" numFmtId="165" xfId="0" applyAlignment="1" applyFont="1" applyNumberFormat="1">
      <alignment horizontal="center"/>
    </xf>
    <xf borderId="0" fillId="3" fontId="2" numFmtId="164" xfId="0" applyAlignment="1" applyFont="1" applyNumberFormat="1">
      <alignment horizontal="center" shrinkToFit="0" vertical="top" wrapText="1"/>
    </xf>
    <xf borderId="0" fillId="3" fontId="2" numFmtId="0" xfId="0" applyAlignment="1" applyFont="1">
      <alignment horizontal="center"/>
    </xf>
    <xf borderId="0" fillId="3" fontId="2" numFmtId="164" xfId="0" applyAlignment="1" applyFont="1" applyNumberFormat="1">
      <alignment horizontal="center"/>
    </xf>
    <xf borderId="0" fillId="19" fontId="1" numFmtId="0" xfId="0" applyAlignment="1" applyFill="1" applyFont="1">
      <alignment horizontal="center" shrinkToFit="0" vertical="center" wrapText="1"/>
    </xf>
    <xf borderId="0" fillId="0" fontId="14" numFmtId="0" xfId="0" applyAlignment="1" applyFont="1">
      <alignment shrinkToFit="0" vertical="top" wrapText="1"/>
    </xf>
    <xf borderId="0" fillId="20" fontId="15" numFmtId="0" xfId="0" applyAlignment="1" applyFill="1" applyFont="1">
      <alignment shrinkToFit="0" vertical="top" wrapText="1"/>
    </xf>
    <xf borderId="0" fillId="21" fontId="16" numFmtId="0" xfId="0" applyAlignment="1" applyFill="1" applyFont="1">
      <alignment horizontal="left" shrinkToFit="0" vertical="center" wrapText="1"/>
    </xf>
    <xf borderId="5" fillId="22" fontId="17" numFmtId="0" xfId="0" applyAlignment="1" applyBorder="1" applyFill="1" applyFont="1">
      <alignment horizontal="center" shrinkToFit="0" vertical="center" wrapText="1"/>
    </xf>
    <xf borderId="0" fillId="23" fontId="18" numFmtId="0" xfId="0" applyAlignment="1" applyFill="1" applyFont="1">
      <alignment shrinkToFit="0" vertical="top" wrapText="1"/>
    </xf>
    <xf borderId="5" fillId="24" fontId="19" numFmtId="0" xfId="0" applyAlignment="1" applyBorder="1" applyFill="1" applyFont="1">
      <alignment horizontal="center" shrinkToFit="0" vertical="center" wrapText="1"/>
    </xf>
    <xf borderId="5" fillId="4" fontId="19" numFmtId="0" xfId="0" applyAlignment="1" applyBorder="1" applyFont="1">
      <alignment horizontal="center" shrinkToFit="0" vertical="center" wrapText="1"/>
    </xf>
    <xf borderId="5" fillId="25" fontId="19" numFmtId="0" xfId="0" applyAlignment="1" applyBorder="1" applyFill="1" applyFont="1">
      <alignment horizontal="center" shrinkToFit="0" vertical="center" wrapText="1"/>
    </xf>
    <xf borderId="5" fillId="11" fontId="19" numFmtId="0" xfId="0" applyAlignment="1" applyBorder="1" applyFont="1">
      <alignment horizontal="center" shrinkToFit="0" vertical="center" wrapText="1"/>
    </xf>
    <xf borderId="5" fillId="26" fontId="19" numFmtId="0" xfId="0" applyAlignment="1" applyBorder="1" applyFill="1" applyFont="1">
      <alignment horizontal="center" shrinkToFit="0" vertical="center" wrapText="1"/>
    </xf>
    <xf borderId="5" fillId="27" fontId="14" numFmtId="0" xfId="0" applyAlignment="1" applyBorder="1" applyFill="1" applyFont="1">
      <alignment shrinkToFit="0" vertical="top" wrapText="1"/>
    </xf>
    <xf borderId="5" fillId="3" fontId="14" numFmtId="0" xfId="0" applyAlignment="1" applyBorder="1" applyFont="1">
      <alignment shrinkToFit="0" vertical="top" wrapText="1"/>
    </xf>
    <xf borderId="0" fillId="28" fontId="1" numFmtId="0" xfId="0" applyAlignment="1" applyFill="1" applyFont="1">
      <alignment horizontal="left" shrinkToFit="0" vertical="center" wrapText="1"/>
    </xf>
    <xf borderId="0" fillId="29" fontId="20" numFmtId="0" xfId="0" applyAlignment="1" applyFill="1" applyFont="1">
      <alignment shrinkToFit="0" vertical="top" wrapText="1"/>
    </xf>
    <xf borderId="0" fillId="19" fontId="4" numFmtId="0" xfId="0" applyAlignment="1" applyFont="1">
      <alignment horizontal="center" shrinkToFit="0" vertical="center" wrapText="1"/>
    </xf>
    <xf borderId="0" fillId="30" fontId="4" numFmtId="0" xfId="0" applyAlignment="1" applyFill="1" applyFont="1">
      <alignment horizontal="center" shrinkToFit="0" vertical="top" wrapText="1"/>
    </xf>
    <xf borderId="0" fillId="3" fontId="14" numFmtId="0" xfId="0" applyAlignment="1" applyFont="1">
      <alignment shrinkToFit="0" vertical="top" wrapText="1"/>
    </xf>
    <xf borderId="0" fillId="31" fontId="16" numFmtId="0" xfId="0" applyAlignment="1" applyFill="1" applyFont="1">
      <alignment horizontal="left" shrinkToFit="0" vertical="center" wrapText="1"/>
    </xf>
    <xf borderId="0" fillId="19" fontId="16" numFmtId="0" xfId="0" applyAlignment="1" applyFont="1">
      <alignment horizontal="left" shrinkToFit="0" vertical="top" wrapText="1"/>
    </xf>
    <xf borderId="0" fillId="19" fontId="4" numFmtId="0" xfId="0" applyAlignment="1" applyFont="1">
      <alignment horizontal="center" shrinkToFit="0" vertical="center" wrapText="1"/>
    </xf>
    <xf borderId="0" fillId="30" fontId="4" numFmtId="0" xfId="0" applyAlignment="1" applyFont="1">
      <alignment horizontal="center" shrinkToFit="0" vertical="top" wrapText="1"/>
    </xf>
    <xf borderId="0" fillId="27" fontId="14" numFmtId="0" xfId="0" applyAlignment="1" applyFont="1">
      <alignment shrinkToFit="0" vertical="top" wrapText="1"/>
    </xf>
    <xf borderId="0" fillId="27" fontId="14" numFmtId="166" xfId="0" applyAlignment="1" applyFont="1" applyNumberFormat="1">
      <alignment shrinkToFit="0" vertical="top" wrapText="1"/>
    </xf>
    <xf borderId="0" fillId="27" fontId="14" numFmtId="1" xfId="0" applyAlignment="1" applyFont="1" applyNumberFormat="1">
      <alignment shrinkToFit="0" vertical="top" wrapText="1"/>
    </xf>
    <xf borderId="0" fillId="16" fontId="14" numFmtId="167" xfId="0" applyAlignment="1" applyFont="1" applyNumberFormat="1">
      <alignment shrinkToFit="0" vertical="top" wrapText="1"/>
    </xf>
    <xf borderId="0" fillId="16" fontId="14" numFmtId="0" xfId="0" applyAlignment="1" applyFont="1">
      <alignment shrinkToFit="0" vertical="top" wrapText="1"/>
    </xf>
    <xf borderId="0" fillId="11" fontId="14" numFmtId="0" xfId="0" applyAlignment="1" applyFont="1">
      <alignment shrinkToFit="0" vertical="top" wrapText="1"/>
    </xf>
    <xf borderId="0" fillId="16" fontId="14" numFmtId="0" xfId="0" applyAlignment="1" applyFont="1">
      <alignment shrinkToFit="0" vertical="top" wrapText="1"/>
    </xf>
    <xf borderId="0" fillId="16" fontId="14" numFmtId="166" xfId="0" applyAlignment="1" applyFont="1" applyNumberFormat="1">
      <alignment shrinkToFit="0" vertical="top" wrapText="1"/>
    </xf>
    <xf borderId="0" fillId="11" fontId="14" numFmtId="166" xfId="0" applyAlignment="1" applyFont="1" applyNumberFormat="1">
      <alignment shrinkToFit="0" vertical="top" wrapText="1"/>
    </xf>
    <xf borderId="0" fillId="11" fontId="14" numFmtId="167" xfId="0" applyAlignment="1" applyFont="1" applyNumberFormat="1">
      <alignment shrinkToFit="0" vertical="top" wrapText="1"/>
    </xf>
    <xf borderId="0" fillId="27" fontId="14" numFmtId="167" xfId="0" applyAlignment="1" applyFont="1" applyNumberFormat="1">
      <alignment shrinkToFit="0" vertical="top" wrapText="1"/>
    </xf>
    <xf borderId="0" fillId="0" fontId="14" numFmtId="166" xfId="0" applyAlignment="1" applyFont="1" applyNumberFormat="1">
      <alignment shrinkToFit="0" vertical="top" wrapText="1"/>
    </xf>
    <xf borderId="0" fillId="0" fontId="14" numFmtId="1" xfId="0" applyAlignment="1" applyFont="1" applyNumberFormat="1">
      <alignment shrinkToFit="0" vertical="top" wrapText="1"/>
    </xf>
    <xf borderId="0" fillId="11" fontId="14" numFmtId="0" xfId="0" applyAlignment="1" applyFont="1">
      <alignment shrinkToFit="0" vertical="top" wrapText="1"/>
    </xf>
    <xf borderId="0" fillId="0" fontId="14" numFmtId="0" xfId="0" applyAlignment="1" applyFont="1">
      <alignment shrinkToFit="0" vertical="bottom" wrapText="1"/>
    </xf>
    <xf borderId="0" fillId="0" fontId="14" numFmtId="166" xfId="0" applyAlignment="1" applyFont="1" applyNumberFormat="1">
      <alignment shrinkToFit="0" vertical="bottom" wrapText="1"/>
    </xf>
    <xf borderId="0" fillId="0" fontId="14" numFmtId="1" xfId="0" applyAlignment="1" applyFont="1" applyNumberFormat="1">
      <alignment shrinkToFit="0" vertical="bottom" wrapText="1"/>
    </xf>
  </cellXfs>
  <cellStyles count="1">
    <cellStyle xfId="0" name="Normal" builtinId="0"/>
  </cellStyles>
  <dxfs count="20">
    <dxf>
      <font>
        <color rgb="FF000000"/>
      </font>
      <fill>
        <patternFill patternType="solid">
          <fgColor rgb="FFD1D5DB"/>
          <bgColor rgb="FFD1D5DB"/>
        </patternFill>
      </fill>
      <border/>
    </dxf>
    <dxf>
      <font>
        <color rgb="FF000000"/>
      </font>
      <fill>
        <patternFill patternType="solid">
          <fgColor rgb="FF6AA84F"/>
          <bgColor rgb="FF6AA84F"/>
        </patternFill>
      </fill>
      <border/>
    </dxf>
    <dxf>
      <font>
        <b/>
        <color rgb="FF000000"/>
      </font>
      <fill>
        <patternFill patternType="solid">
          <fgColor rgb="FF4FC3F7"/>
          <bgColor rgb="FF4FC3F7"/>
        </patternFill>
      </fill>
      <border/>
    </dxf>
    <dxf>
      <font>
        <color rgb="FF000000"/>
      </font>
      <fill>
        <patternFill patternType="solid">
          <fgColor rgb="FFE69138"/>
          <bgColor rgb="FFE69138"/>
        </patternFill>
      </fill>
      <border/>
    </dxf>
    <dxf>
      <font>
        <color rgb="FF000000"/>
      </font>
      <fill>
        <patternFill patternType="solid">
          <fgColor rgb="FFFFF2CC"/>
          <bgColor rgb="FFFFF2CC"/>
        </patternFill>
      </fill>
      <border/>
    </dxf>
    <dxf>
      <font>
        <color rgb="FF000000"/>
      </font>
      <fill>
        <patternFill patternType="solid">
          <fgColor rgb="FFD9D2E9"/>
          <bgColor rgb="FFD9D2E9"/>
        </patternFill>
      </fill>
      <border/>
    </dxf>
    <dxf>
      <font>
        <color rgb="FF000000"/>
      </font>
      <fill>
        <patternFill patternType="solid">
          <fgColor rgb="FFFFFFFF"/>
          <bgColor rgb="FFFFFFFF"/>
        </patternFill>
      </fill>
      <border/>
    </dxf>
    <dxf>
      <font>
        <b/>
        <color rgb="FF1D4ED8"/>
      </font>
      <fill>
        <patternFill patternType="solid">
          <fgColor rgb="FFDBEAFE"/>
          <bgColor rgb="FFDBEAFE"/>
        </patternFill>
      </fill>
      <border/>
    </dxf>
    <dxf>
      <font/>
      <fill>
        <patternFill patternType="solid">
          <fgColor rgb="FFDCFCE7"/>
          <bgColor rgb="FFDCFCE7"/>
        </patternFill>
      </fill>
      <border/>
    </dxf>
    <dxf>
      <font/>
      <fill>
        <patternFill patternType="solid">
          <fgColor rgb="FFFEF3C7"/>
          <bgColor rgb="FFFEF3C7"/>
        </patternFill>
      </fill>
      <border/>
    </dxf>
    <dxf>
      <font>
        <b/>
        <color rgb="FF1E3A8A"/>
      </font>
      <fill>
        <patternFill patternType="solid">
          <fgColor rgb="FFDBEAFE"/>
          <bgColor rgb="FFDBEAFE"/>
        </patternFill>
      </fill>
      <border/>
    </dxf>
    <dxf>
      <font>
        <b/>
        <color rgb="FF991B1B"/>
      </font>
      <fill>
        <patternFill patternType="solid">
          <fgColor rgb="FFFEE2E2"/>
          <bgColor rgb="FFFEE2E2"/>
        </patternFill>
      </fill>
      <border/>
    </dxf>
    <dxf>
      <font>
        <b/>
        <color rgb="FF92400E"/>
      </font>
      <fill>
        <patternFill patternType="solid">
          <fgColor rgb="FFFEF3C7"/>
          <bgColor rgb="FFFEF3C7"/>
        </patternFill>
      </fill>
      <border/>
    </dxf>
    <dxf>
      <font>
        <b/>
        <color rgb="FF374151"/>
      </font>
      <fill>
        <patternFill patternType="solid">
          <fgColor rgb="FFF3F4F6"/>
          <bgColor rgb="FFF3F4F6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>
        <b/>
      </font>
      <fill>
        <patternFill patternType="solid">
          <fgColor rgb="FFFCA5A5"/>
          <bgColor rgb="FFFCA5A5"/>
        </patternFill>
      </fill>
      <border/>
    </dxf>
    <dxf>
      <font>
        <b/>
      </font>
      <fill>
        <patternFill patternType="solid">
          <fgColor rgb="FFFECACA"/>
          <bgColor rgb="FFFECACA"/>
        </patternFill>
      </fill>
      <border/>
    </dxf>
  </dxfs>
  <tableStyles count="2">
    <tableStyle count="3" pivot="0" name="05_週報月報-style">
      <tableStyleElement dxfId="15" type="headerRow"/>
      <tableStyleElement dxfId="16" type="firstRowStripe"/>
      <tableStyleElement dxfId="17" type="secondRowStripe"/>
    </tableStyle>
    <tableStyle count="3" pivot="0" name="05_週報月報-style 2">
      <tableStyleElement dxfId="15" type="headerRow"/>
      <tableStyleElement dxfId="16" type="firstRowStripe"/>
      <tableStyleElement dxfId="17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8:P60" displayName="Table_1" name="Table_1" id="1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05_週報月報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R8:AG32" displayName="Table_2" name="Table_2" id="2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05_週報月報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34.0"/>
    <col customWidth="1" min="3" max="3" width="42.0"/>
    <col customWidth="1" min="4" max="4" width="40.0"/>
    <col customWidth="1" min="5" max="5" width="3.0"/>
    <col customWidth="1" min="6" max="6" width="22.0"/>
    <col customWidth="1" min="7" max="7" width="34.0"/>
    <col customWidth="1" min="8" max="8" width="42.0"/>
  </cols>
  <sheetData>
    <row r="1" ht="30.0" customHeight="1">
      <c r="A1" s="1" t="s">
        <v>0</v>
      </c>
    </row>
    <row r="2" ht="37.5" customHeight="1">
      <c r="A2" s="2" t="s">
        <v>1</v>
      </c>
    </row>
    <row r="3">
      <c r="A3" s="3"/>
      <c r="B3" s="4"/>
      <c r="C3" s="4"/>
      <c r="D3" s="4"/>
      <c r="E3" s="4"/>
      <c r="F3" s="4"/>
      <c r="G3" s="4"/>
      <c r="H3" s="4"/>
    </row>
    <row r="4">
      <c r="A4" s="5" t="s">
        <v>2</v>
      </c>
      <c r="D4" s="4"/>
      <c r="E4" s="4"/>
      <c r="F4" s="6" t="s">
        <v>3</v>
      </c>
    </row>
    <row r="5">
      <c r="A5" s="7" t="s">
        <v>4</v>
      </c>
      <c r="B5" s="8" t="s">
        <v>5</v>
      </c>
      <c r="C5" s="8" t="s">
        <v>6</v>
      </c>
      <c r="D5" s="4"/>
      <c r="E5" s="4"/>
      <c r="F5" s="8" t="s">
        <v>7</v>
      </c>
      <c r="G5" s="8" t="s">
        <v>8</v>
      </c>
      <c r="H5" s="8" t="s">
        <v>9</v>
      </c>
    </row>
    <row r="6">
      <c r="A6" s="9" t="s">
        <v>10</v>
      </c>
      <c r="B6" s="10">
        <v>46204.0</v>
      </c>
      <c r="C6" s="2" t="s">
        <v>11</v>
      </c>
      <c r="D6" s="4"/>
      <c r="E6" s="4"/>
      <c r="F6" s="11" t="s">
        <v>12</v>
      </c>
      <c r="G6" s="11" t="s">
        <v>13</v>
      </c>
      <c r="H6" s="11" t="s">
        <v>14</v>
      </c>
    </row>
    <row r="7">
      <c r="A7" s="9" t="s">
        <v>15</v>
      </c>
      <c r="B7" s="10">
        <v>46934.0</v>
      </c>
      <c r="C7" s="2" t="s">
        <v>16</v>
      </c>
      <c r="D7" s="4"/>
      <c r="E7" s="4"/>
      <c r="F7" s="11" t="s">
        <v>17</v>
      </c>
      <c r="G7" s="11" t="s">
        <v>18</v>
      </c>
      <c r="H7" s="11" t="s">
        <v>19</v>
      </c>
    </row>
    <row r="8">
      <c r="A8" s="9" t="s">
        <v>20</v>
      </c>
      <c r="B8" s="12">
        <f>B7-B6+1</f>
        <v>731</v>
      </c>
      <c r="C8" s="2" t="s">
        <v>21</v>
      </c>
      <c r="D8" s="4"/>
      <c r="E8" s="4"/>
      <c r="F8" s="4"/>
      <c r="G8" s="4"/>
      <c r="H8" s="4"/>
    </row>
    <row r="9">
      <c r="A9" s="9" t="s">
        <v>22</v>
      </c>
      <c r="B9" s="12">
        <f>'02_週間時間割'!Q7</f>
        <v>210</v>
      </c>
      <c r="C9" s="2" t="s">
        <v>23</v>
      </c>
      <c r="D9" s="4"/>
      <c r="E9" s="4"/>
      <c r="F9" s="4"/>
      <c r="G9" s="4"/>
      <c r="H9" s="4"/>
    </row>
    <row r="10">
      <c r="A10" s="3"/>
      <c r="B10" s="4"/>
      <c r="C10" s="4"/>
      <c r="D10" s="4"/>
      <c r="E10" s="4"/>
      <c r="F10" s="13"/>
    </row>
    <row r="11">
      <c r="A11" s="5" t="s">
        <v>24</v>
      </c>
      <c r="E11" s="4"/>
      <c r="F11" s="14"/>
      <c r="G11" s="14"/>
      <c r="H11" s="14"/>
    </row>
    <row r="12" ht="24.0" customHeight="1">
      <c r="A12" s="7" t="s">
        <v>4</v>
      </c>
      <c r="B12" s="8" t="s">
        <v>25</v>
      </c>
      <c r="C12" s="8" t="s">
        <v>26</v>
      </c>
      <c r="D12" s="8" t="s">
        <v>27</v>
      </c>
      <c r="E12" s="4"/>
      <c r="F12" s="4"/>
      <c r="G12" s="3"/>
      <c r="H12" s="3"/>
    </row>
    <row r="13" ht="42.0" customHeight="1">
      <c r="A13" s="3" t="s">
        <v>28</v>
      </c>
      <c r="B13" s="12"/>
      <c r="C13" s="11" t="s">
        <v>29</v>
      </c>
      <c r="D13" s="11" t="s">
        <v>30</v>
      </c>
      <c r="E13" s="4"/>
      <c r="F13" s="4"/>
      <c r="G13" s="3"/>
      <c r="H13" s="3"/>
    </row>
    <row r="14" ht="42.0" customHeight="1">
      <c r="A14" s="3" t="s">
        <v>31</v>
      </c>
      <c r="B14" s="12"/>
      <c r="C14" s="11" t="s">
        <v>32</v>
      </c>
      <c r="D14" s="11" t="s">
        <v>33</v>
      </c>
      <c r="E14" s="4"/>
      <c r="F14" s="4"/>
      <c r="G14" s="3"/>
      <c r="H14" s="3"/>
    </row>
    <row r="15" ht="42.0" customHeight="1">
      <c r="A15" s="3" t="s">
        <v>34</v>
      </c>
      <c r="B15" s="12"/>
      <c r="C15" s="11" t="s">
        <v>35</v>
      </c>
      <c r="D15" s="11" t="s">
        <v>36</v>
      </c>
      <c r="E15" s="4"/>
      <c r="F15" s="4"/>
      <c r="G15" s="4"/>
      <c r="H15" s="4"/>
    </row>
    <row r="16" ht="42.0" customHeight="1">
      <c r="A16" s="3" t="s">
        <v>37</v>
      </c>
      <c r="B16" s="12"/>
      <c r="C16" s="11" t="s">
        <v>38</v>
      </c>
      <c r="D16" s="11" t="s">
        <v>39</v>
      </c>
      <c r="E16" s="4"/>
      <c r="F16" s="4"/>
      <c r="G16" s="4"/>
      <c r="H16" s="4"/>
    </row>
    <row r="17" ht="42.0" customHeight="1">
      <c r="A17" s="3" t="s">
        <v>40</v>
      </c>
      <c r="B17" s="12"/>
      <c r="C17" s="11" t="s">
        <v>41</v>
      </c>
      <c r="D17" s="11" t="s">
        <v>42</v>
      </c>
      <c r="E17" s="4"/>
      <c r="F17" s="4"/>
      <c r="G17" s="4"/>
      <c r="H17" s="4"/>
    </row>
    <row r="18">
      <c r="A18" s="3"/>
      <c r="B18" s="4"/>
      <c r="C18" s="4"/>
      <c r="D18" s="4"/>
      <c r="E18" s="4"/>
      <c r="F18" s="4"/>
      <c r="G18" s="4"/>
      <c r="H18" s="4"/>
    </row>
    <row r="19">
      <c r="A19" s="5" t="s">
        <v>43</v>
      </c>
      <c r="E19" s="4"/>
      <c r="F19" s="4"/>
      <c r="G19" s="4"/>
      <c r="H19" s="4"/>
    </row>
    <row r="20" ht="24.0" customHeight="1">
      <c r="A20" s="7" t="s">
        <v>44</v>
      </c>
      <c r="B20" s="8" t="s">
        <v>45</v>
      </c>
      <c r="C20" s="8" t="s">
        <v>26</v>
      </c>
      <c r="D20" s="8" t="s">
        <v>6</v>
      </c>
      <c r="E20" s="4"/>
      <c r="F20" s="4"/>
      <c r="G20" s="4"/>
      <c r="H20" s="4"/>
    </row>
    <row r="21" ht="49.5" customHeight="1">
      <c r="A21" s="3" t="s">
        <v>46</v>
      </c>
      <c r="B21" s="12"/>
      <c r="C21" s="11" t="s">
        <v>47</v>
      </c>
      <c r="D21" s="11" t="s">
        <v>48</v>
      </c>
      <c r="E21" s="4"/>
      <c r="F21" s="4"/>
      <c r="G21" s="4"/>
      <c r="H21" s="4"/>
    </row>
    <row r="22" ht="49.5" customHeight="1">
      <c r="A22" s="3" t="s">
        <v>49</v>
      </c>
      <c r="B22" s="12"/>
      <c r="C22" s="11" t="s">
        <v>50</v>
      </c>
      <c r="D22" s="11" t="s">
        <v>51</v>
      </c>
      <c r="E22" s="4"/>
      <c r="F22" s="4"/>
      <c r="G22" s="4"/>
      <c r="H22" s="4"/>
    </row>
    <row r="23" ht="49.5" customHeight="1">
      <c r="A23" s="3" t="s">
        <v>52</v>
      </c>
      <c r="B23" s="12"/>
      <c r="C23" s="11" t="s">
        <v>53</v>
      </c>
      <c r="D23" s="11" t="s">
        <v>54</v>
      </c>
      <c r="E23" s="4"/>
      <c r="F23" s="4"/>
      <c r="G23" s="4"/>
      <c r="H23" s="4"/>
    </row>
    <row r="24" ht="49.5" customHeight="1">
      <c r="A24" s="3" t="s">
        <v>55</v>
      </c>
      <c r="B24" s="12"/>
      <c r="C24" s="11" t="s">
        <v>56</v>
      </c>
      <c r="D24" s="11" t="s">
        <v>57</v>
      </c>
      <c r="E24" s="4"/>
      <c r="F24" s="4"/>
      <c r="G24" s="4"/>
      <c r="H24" s="4"/>
    </row>
    <row r="25" ht="15.75" customHeight="1">
      <c r="A25" s="3"/>
      <c r="B25" s="4"/>
      <c r="C25" s="4"/>
      <c r="D25" s="4"/>
      <c r="E25" s="4"/>
      <c r="F25" s="4"/>
      <c r="G25" s="4"/>
      <c r="H25" s="4"/>
    </row>
    <row r="26" ht="15.75" customHeight="1">
      <c r="A26" s="3"/>
      <c r="B26" s="4"/>
      <c r="C26" s="4"/>
      <c r="D26" s="4"/>
      <c r="E26" s="4"/>
      <c r="F26" s="4"/>
      <c r="G26" s="4"/>
      <c r="H26" s="4"/>
    </row>
    <row r="27" ht="15.75" customHeight="1">
      <c r="A27" s="5" t="s">
        <v>58</v>
      </c>
      <c r="E27" s="4"/>
      <c r="F27" s="4"/>
      <c r="G27" s="4"/>
      <c r="H27" s="4"/>
    </row>
    <row r="28" ht="24.0" customHeight="1">
      <c r="A28" s="7" t="s">
        <v>59</v>
      </c>
      <c r="B28" s="8" t="s">
        <v>45</v>
      </c>
      <c r="C28" s="8" t="s">
        <v>26</v>
      </c>
      <c r="D28" s="8" t="s">
        <v>60</v>
      </c>
      <c r="E28" s="4"/>
      <c r="F28" s="4"/>
      <c r="G28" s="4"/>
      <c r="H28" s="4"/>
    </row>
    <row r="29" ht="42.0" customHeight="1">
      <c r="A29" s="3" t="s">
        <v>61</v>
      </c>
      <c r="B29" s="12"/>
      <c r="C29" s="11" t="s">
        <v>62</v>
      </c>
      <c r="D29" s="11" t="s">
        <v>63</v>
      </c>
      <c r="E29" s="4"/>
      <c r="F29" s="4"/>
      <c r="G29" s="4"/>
      <c r="H29" s="4"/>
    </row>
    <row r="30" ht="42.0" customHeight="1">
      <c r="A30" s="3" t="s">
        <v>64</v>
      </c>
      <c r="B30" s="12"/>
      <c r="C30" s="11" t="s">
        <v>65</v>
      </c>
      <c r="D30" s="11" t="s">
        <v>66</v>
      </c>
      <c r="E30" s="4"/>
      <c r="F30" s="4"/>
      <c r="G30" s="4"/>
      <c r="H30" s="4"/>
    </row>
    <row r="31" ht="42.0" customHeight="1">
      <c r="A31" s="3" t="s">
        <v>67</v>
      </c>
      <c r="B31" s="12"/>
      <c r="C31" s="11" t="s">
        <v>68</v>
      </c>
      <c r="D31" s="11" t="s">
        <v>69</v>
      </c>
      <c r="E31" s="4"/>
      <c r="F31" s="4"/>
      <c r="G31" s="4"/>
      <c r="H31" s="4"/>
    </row>
    <row r="32" ht="42.0" customHeight="1">
      <c r="A32" s="3" t="s">
        <v>70</v>
      </c>
      <c r="B32" s="12"/>
      <c r="C32" s="11" t="s">
        <v>71</v>
      </c>
      <c r="D32" s="11" t="s">
        <v>72</v>
      </c>
      <c r="E32" s="4"/>
      <c r="F32" s="4"/>
      <c r="G32" s="4"/>
      <c r="H32" s="4"/>
    </row>
    <row r="33" ht="42.0" customHeight="1">
      <c r="A33" s="3" t="s">
        <v>73</v>
      </c>
      <c r="B33" s="12"/>
      <c r="C33" s="11" t="s">
        <v>74</v>
      </c>
      <c r="D33" s="11" t="s">
        <v>75</v>
      </c>
      <c r="E33" s="4"/>
      <c r="F33" s="4"/>
      <c r="G33" s="4"/>
      <c r="H33" s="4"/>
    </row>
    <row r="34" ht="42.0" customHeight="1">
      <c r="A34" s="3" t="s">
        <v>76</v>
      </c>
      <c r="B34" s="12"/>
      <c r="C34" s="11" t="s">
        <v>77</v>
      </c>
      <c r="D34" s="11" t="s">
        <v>78</v>
      </c>
      <c r="E34" s="4"/>
      <c r="F34" s="4"/>
      <c r="G34" s="4"/>
      <c r="H34" s="4"/>
    </row>
    <row r="35" ht="15.75" customHeight="1">
      <c r="A35" s="3"/>
      <c r="B35" s="4"/>
      <c r="C35" s="4"/>
      <c r="D35" s="4"/>
      <c r="E35" s="4"/>
      <c r="F35" s="4"/>
      <c r="G35" s="4"/>
      <c r="H35" s="4"/>
    </row>
    <row r="36" ht="15.75" customHeight="1">
      <c r="A36" s="3"/>
      <c r="B36" s="4"/>
      <c r="C36" s="4"/>
      <c r="D36" s="4"/>
      <c r="E36" s="4"/>
      <c r="F36" s="4"/>
      <c r="G36" s="4"/>
      <c r="H36" s="4"/>
    </row>
    <row r="37" ht="15.75" customHeight="1">
      <c r="A37" s="3"/>
      <c r="B37" s="4"/>
      <c r="C37" s="4"/>
      <c r="D37" s="4"/>
      <c r="E37" s="4"/>
      <c r="F37" s="4"/>
      <c r="G37" s="4"/>
      <c r="H37" s="4"/>
    </row>
    <row r="38" ht="15.75" customHeight="1">
      <c r="A38" s="3"/>
      <c r="B38" s="4"/>
      <c r="C38" s="4"/>
      <c r="D38" s="4"/>
      <c r="E38" s="4"/>
      <c r="F38" s="4"/>
      <c r="G38" s="4"/>
      <c r="H38" s="4"/>
    </row>
    <row r="39" ht="15.75" customHeight="1">
      <c r="A39" s="3"/>
      <c r="B39" s="4"/>
      <c r="C39" s="4"/>
      <c r="D39" s="4"/>
      <c r="E39" s="4"/>
      <c r="F39" s="4"/>
      <c r="G39" s="4"/>
      <c r="H39" s="4"/>
    </row>
    <row r="40" ht="15.75" customHeight="1">
      <c r="A40" s="3"/>
      <c r="B40" s="4"/>
      <c r="C40" s="4"/>
      <c r="D40" s="4"/>
      <c r="E40" s="4"/>
      <c r="F40" s="4"/>
      <c r="G40" s="4"/>
      <c r="H40" s="4"/>
    </row>
    <row r="41" ht="15.75" customHeight="1">
      <c r="A41" s="3"/>
      <c r="B41" s="4"/>
      <c r="C41" s="4"/>
      <c r="D41" s="4"/>
      <c r="E41" s="4"/>
      <c r="F41" s="4"/>
      <c r="G41" s="4"/>
      <c r="H41" s="4"/>
    </row>
    <row r="42" ht="15.75" customHeight="1">
      <c r="A42" s="3"/>
      <c r="B42" s="4"/>
      <c r="C42" s="4"/>
      <c r="D42" s="4"/>
      <c r="E42" s="4"/>
      <c r="F42" s="4"/>
      <c r="G42" s="4"/>
      <c r="H42" s="4"/>
    </row>
    <row r="43" ht="15.75" customHeight="1">
      <c r="A43" s="3"/>
      <c r="B43" s="4"/>
      <c r="C43" s="4"/>
      <c r="D43" s="4"/>
      <c r="E43" s="4"/>
      <c r="F43" s="4"/>
      <c r="G43" s="4"/>
      <c r="H43" s="4"/>
    </row>
    <row r="44" ht="15.75" customHeight="1">
      <c r="A44" s="3"/>
      <c r="B44" s="4"/>
      <c r="C44" s="4"/>
      <c r="D44" s="4"/>
      <c r="E44" s="4"/>
      <c r="F44" s="4"/>
      <c r="G44" s="4"/>
      <c r="H44" s="4"/>
    </row>
    <row r="45" ht="15.75" customHeight="1">
      <c r="A45" s="3"/>
      <c r="B45" s="4"/>
      <c r="C45" s="4"/>
      <c r="D45" s="4"/>
      <c r="E45" s="4"/>
      <c r="F45" s="4"/>
      <c r="G45" s="4"/>
      <c r="H45" s="4"/>
    </row>
    <row r="46" ht="15.75" customHeight="1">
      <c r="A46" s="3"/>
      <c r="B46" s="4"/>
      <c r="C46" s="4"/>
      <c r="D46" s="4"/>
      <c r="E46" s="4"/>
      <c r="F46" s="4"/>
      <c r="G46" s="4"/>
      <c r="H46" s="4"/>
    </row>
    <row r="47" ht="15.75" customHeight="1">
      <c r="A47" s="3"/>
      <c r="B47" s="4"/>
      <c r="C47" s="4"/>
      <c r="D47" s="4"/>
      <c r="E47" s="4"/>
      <c r="F47" s="4"/>
      <c r="G47" s="4"/>
      <c r="H47" s="4"/>
    </row>
    <row r="48" ht="15.75" customHeight="1">
      <c r="A48" s="3"/>
      <c r="B48" s="4"/>
      <c r="C48" s="4"/>
      <c r="D48" s="4"/>
      <c r="E48" s="4"/>
      <c r="F48" s="4"/>
      <c r="G48" s="4"/>
      <c r="H48" s="4"/>
    </row>
    <row r="49" ht="15.75" customHeight="1">
      <c r="A49" s="3"/>
      <c r="B49" s="4"/>
      <c r="C49" s="4"/>
      <c r="D49" s="4"/>
      <c r="E49" s="4"/>
      <c r="F49" s="4"/>
      <c r="G49" s="4"/>
      <c r="H49" s="4"/>
    </row>
    <row r="50" ht="15.75" customHeight="1">
      <c r="A50" s="3"/>
      <c r="B50" s="4"/>
      <c r="C50" s="4"/>
      <c r="D50" s="4"/>
      <c r="E50" s="4"/>
      <c r="F50" s="4"/>
      <c r="G50" s="4"/>
      <c r="H50" s="4"/>
    </row>
    <row r="51" ht="15.75" customHeight="1">
      <c r="A51" s="3"/>
      <c r="B51" s="4"/>
      <c r="C51" s="4"/>
      <c r="D51" s="4"/>
      <c r="E51" s="4"/>
      <c r="F51" s="4"/>
      <c r="G51" s="4"/>
      <c r="H51" s="4"/>
    </row>
    <row r="52" ht="15.75" customHeight="1">
      <c r="A52" s="3"/>
      <c r="B52" s="4"/>
      <c r="C52" s="4"/>
      <c r="D52" s="4"/>
      <c r="E52" s="4"/>
      <c r="F52" s="4"/>
      <c r="G52" s="4"/>
      <c r="H52" s="4"/>
    </row>
    <row r="53" ht="15.75" customHeight="1">
      <c r="A53" s="3"/>
      <c r="B53" s="4"/>
      <c r="C53" s="4"/>
      <c r="D53" s="4"/>
      <c r="E53" s="4"/>
      <c r="F53" s="4"/>
      <c r="G53" s="4"/>
      <c r="H53" s="4"/>
    </row>
    <row r="54" ht="15.75" customHeight="1">
      <c r="A54" s="3"/>
      <c r="B54" s="4"/>
      <c r="C54" s="4"/>
      <c r="D54" s="4"/>
      <c r="E54" s="4"/>
      <c r="F54" s="4"/>
      <c r="G54" s="4"/>
      <c r="H54" s="4"/>
    </row>
    <row r="55" ht="15.75" customHeight="1">
      <c r="A55" s="3"/>
      <c r="B55" s="4"/>
      <c r="C55" s="4"/>
      <c r="D55" s="4"/>
      <c r="E55" s="4"/>
      <c r="F55" s="4"/>
      <c r="G55" s="4"/>
      <c r="H55" s="4"/>
    </row>
    <row r="56" ht="15.75" customHeight="1">
      <c r="A56" s="3"/>
      <c r="B56" s="4"/>
      <c r="C56" s="4"/>
      <c r="D56" s="4"/>
      <c r="E56" s="4"/>
      <c r="F56" s="4"/>
      <c r="G56" s="4"/>
      <c r="H56" s="4"/>
    </row>
    <row r="57" ht="15.75" customHeight="1">
      <c r="A57" s="3"/>
      <c r="B57" s="4"/>
      <c r="C57" s="4"/>
      <c r="D57" s="4"/>
      <c r="E57" s="4"/>
      <c r="F57" s="4"/>
      <c r="G57" s="4"/>
      <c r="H57" s="4"/>
    </row>
    <row r="58" ht="15.75" customHeight="1">
      <c r="A58" s="3"/>
      <c r="B58" s="4"/>
      <c r="C58" s="4"/>
      <c r="D58" s="4"/>
      <c r="E58" s="4"/>
      <c r="F58" s="4"/>
      <c r="G58" s="4"/>
      <c r="H58" s="4"/>
    </row>
    <row r="59" ht="15.75" customHeight="1">
      <c r="A59" s="3"/>
      <c r="B59" s="4"/>
      <c r="C59" s="4"/>
      <c r="D59" s="4"/>
      <c r="E59" s="4"/>
      <c r="F59" s="4"/>
      <c r="G59" s="4"/>
      <c r="H59" s="4"/>
    </row>
    <row r="60" ht="15.75" customHeight="1">
      <c r="A60" s="3"/>
      <c r="B60" s="4"/>
      <c r="C60" s="4"/>
      <c r="D60" s="4"/>
      <c r="E60" s="4"/>
      <c r="F60" s="4"/>
      <c r="G60" s="4"/>
      <c r="H60" s="4"/>
    </row>
    <row r="61" ht="15.75" customHeight="1">
      <c r="A61" s="3"/>
      <c r="B61" s="4"/>
      <c r="C61" s="4"/>
      <c r="D61" s="4"/>
      <c r="E61" s="4"/>
      <c r="F61" s="4"/>
      <c r="G61" s="4"/>
      <c r="H61" s="4"/>
    </row>
    <row r="62" ht="15.75" customHeight="1">
      <c r="A62" s="3"/>
      <c r="B62" s="4"/>
      <c r="C62" s="4"/>
      <c r="D62" s="4"/>
      <c r="E62" s="4"/>
      <c r="F62" s="4"/>
      <c r="G62" s="4"/>
      <c r="H62" s="4"/>
    </row>
    <row r="63" ht="15.75" customHeight="1">
      <c r="A63" s="3"/>
      <c r="B63" s="4"/>
      <c r="C63" s="4"/>
      <c r="D63" s="4"/>
      <c r="E63" s="4"/>
      <c r="F63" s="4"/>
      <c r="G63" s="4"/>
      <c r="H63" s="4"/>
    </row>
    <row r="64" ht="15.75" customHeight="1">
      <c r="A64" s="3"/>
      <c r="B64" s="4"/>
      <c r="C64" s="4"/>
      <c r="D64" s="4"/>
      <c r="E64" s="4"/>
      <c r="F64" s="4"/>
      <c r="G64" s="4"/>
      <c r="H64" s="4"/>
    </row>
    <row r="65" ht="15.75" customHeight="1">
      <c r="A65" s="3"/>
      <c r="B65" s="4"/>
      <c r="C65" s="4"/>
      <c r="D65" s="4"/>
      <c r="E65" s="4"/>
      <c r="F65" s="4"/>
      <c r="G65" s="4"/>
      <c r="H65" s="4"/>
    </row>
    <row r="66" ht="15.75" customHeight="1">
      <c r="A66" s="3"/>
      <c r="B66" s="4"/>
      <c r="C66" s="4"/>
      <c r="D66" s="4"/>
      <c r="E66" s="4"/>
      <c r="F66" s="4"/>
      <c r="G66" s="4"/>
      <c r="H66" s="4"/>
    </row>
    <row r="67" ht="15.75" customHeight="1">
      <c r="A67" s="3"/>
      <c r="B67" s="4"/>
      <c r="C67" s="4"/>
      <c r="D67" s="4"/>
      <c r="E67" s="4"/>
      <c r="F67" s="4"/>
      <c r="G67" s="4"/>
      <c r="H67" s="4"/>
    </row>
    <row r="68" ht="15.75" customHeight="1">
      <c r="A68" s="3"/>
      <c r="B68" s="4"/>
      <c r="C68" s="4"/>
      <c r="D68" s="4"/>
      <c r="E68" s="4"/>
      <c r="F68" s="4"/>
      <c r="G68" s="4"/>
      <c r="H68" s="4"/>
    </row>
    <row r="69" ht="15.75" customHeight="1">
      <c r="A69" s="3"/>
      <c r="B69" s="4"/>
      <c r="C69" s="4"/>
      <c r="D69" s="4"/>
      <c r="E69" s="4"/>
      <c r="F69" s="4"/>
      <c r="G69" s="4"/>
      <c r="H69" s="4"/>
    </row>
    <row r="70" ht="15.75" customHeight="1">
      <c r="A70" s="3"/>
      <c r="B70" s="4"/>
      <c r="C70" s="4"/>
      <c r="D70" s="4"/>
      <c r="E70" s="4"/>
      <c r="F70" s="4"/>
      <c r="G70" s="4"/>
      <c r="H70" s="4"/>
    </row>
    <row r="71" ht="15.75" customHeight="1">
      <c r="A71" s="3"/>
      <c r="B71" s="4"/>
      <c r="C71" s="4"/>
      <c r="D71" s="4"/>
      <c r="E71" s="4"/>
      <c r="F71" s="4"/>
      <c r="G71" s="4"/>
      <c r="H71" s="4"/>
    </row>
    <row r="72" ht="15.75" customHeight="1">
      <c r="A72" s="3"/>
      <c r="B72" s="4"/>
      <c r="C72" s="4"/>
      <c r="D72" s="4"/>
      <c r="E72" s="4"/>
      <c r="F72" s="4"/>
      <c r="G72" s="4"/>
      <c r="H72" s="4"/>
    </row>
    <row r="73" ht="15.75" customHeight="1">
      <c r="A73" s="3"/>
      <c r="B73" s="4"/>
      <c r="C73" s="4"/>
      <c r="D73" s="4"/>
      <c r="E73" s="4"/>
      <c r="F73" s="4"/>
      <c r="G73" s="4"/>
      <c r="H73" s="4"/>
    </row>
    <row r="74" ht="15.75" customHeight="1">
      <c r="A74" s="3"/>
      <c r="B74" s="4"/>
      <c r="C74" s="4"/>
      <c r="D74" s="4"/>
      <c r="E74" s="4"/>
      <c r="F74" s="4"/>
      <c r="G74" s="4"/>
      <c r="H74" s="4"/>
    </row>
    <row r="75" ht="15.75" customHeight="1">
      <c r="A75" s="3"/>
      <c r="B75" s="4"/>
      <c r="C75" s="4"/>
      <c r="D75" s="4"/>
      <c r="E75" s="4"/>
      <c r="F75" s="4"/>
      <c r="G75" s="4"/>
      <c r="H75" s="4"/>
    </row>
    <row r="76" ht="15.75" customHeight="1">
      <c r="A76" s="3"/>
      <c r="B76" s="4"/>
      <c r="C76" s="4"/>
      <c r="D76" s="4"/>
      <c r="E76" s="4"/>
      <c r="F76" s="4"/>
      <c r="G76" s="4"/>
      <c r="H76" s="4"/>
    </row>
    <row r="77" ht="15.75" customHeight="1">
      <c r="A77" s="3"/>
      <c r="B77" s="4"/>
      <c r="C77" s="4"/>
      <c r="D77" s="4"/>
      <c r="E77" s="4"/>
      <c r="F77" s="4"/>
      <c r="G77" s="4"/>
      <c r="H77" s="4"/>
    </row>
    <row r="78" ht="15.75" customHeight="1">
      <c r="A78" s="3"/>
      <c r="B78" s="4"/>
      <c r="C78" s="4"/>
      <c r="D78" s="4"/>
      <c r="E78" s="4"/>
      <c r="F78" s="4"/>
      <c r="G78" s="4"/>
      <c r="H78" s="4"/>
    </row>
    <row r="79" ht="15.75" customHeight="1">
      <c r="A79" s="3"/>
      <c r="B79" s="4"/>
      <c r="C79" s="4"/>
      <c r="D79" s="4"/>
      <c r="E79" s="4"/>
      <c r="F79" s="4"/>
      <c r="G79" s="4"/>
      <c r="H79" s="4"/>
    </row>
    <row r="80" ht="15.75" customHeight="1">
      <c r="A80" s="3"/>
      <c r="B80" s="4"/>
      <c r="C80" s="4"/>
      <c r="D80" s="4"/>
      <c r="E80" s="4"/>
      <c r="F80" s="4"/>
      <c r="G80" s="4"/>
      <c r="H80" s="4"/>
    </row>
    <row r="81" ht="15.75" customHeight="1">
      <c r="A81" s="3"/>
      <c r="B81" s="4"/>
      <c r="C81" s="4"/>
      <c r="D81" s="4"/>
      <c r="E81" s="4"/>
      <c r="F81" s="4"/>
      <c r="G81" s="4"/>
      <c r="H81" s="4"/>
    </row>
    <row r="82" ht="15.75" customHeight="1">
      <c r="A82" s="3"/>
      <c r="B82" s="4"/>
      <c r="C82" s="4"/>
      <c r="D82" s="4"/>
      <c r="E82" s="4"/>
      <c r="F82" s="4"/>
      <c r="G82" s="4"/>
      <c r="H82" s="4"/>
    </row>
    <row r="83" ht="15.75" customHeight="1">
      <c r="A83" s="3"/>
      <c r="B83" s="4"/>
      <c r="C83" s="4"/>
      <c r="D83" s="4"/>
      <c r="E83" s="4"/>
      <c r="F83" s="4"/>
      <c r="G83" s="4"/>
      <c r="H83" s="4"/>
    </row>
    <row r="84" ht="15.75" customHeight="1">
      <c r="A84" s="3"/>
      <c r="B84" s="4"/>
      <c r="C84" s="4"/>
      <c r="D84" s="4"/>
      <c r="E84" s="4"/>
      <c r="F84" s="4"/>
      <c r="G84" s="4"/>
      <c r="H84" s="4"/>
    </row>
    <row r="85" ht="15.75" customHeight="1">
      <c r="A85" s="3"/>
      <c r="B85" s="4"/>
      <c r="C85" s="4"/>
      <c r="D85" s="4"/>
      <c r="E85" s="4"/>
      <c r="F85" s="4"/>
      <c r="G85" s="4"/>
      <c r="H85" s="4"/>
    </row>
    <row r="86" ht="15.75" customHeight="1">
      <c r="A86" s="3"/>
      <c r="B86" s="4"/>
      <c r="C86" s="4"/>
      <c r="D86" s="4"/>
      <c r="E86" s="4"/>
      <c r="F86" s="4"/>
      <c r="G86" s="4"/>
      <c r="H86" s="4"/>
    </row>
    <row r="87" ht="15.75" customHeight="1">
      <c r="A87" s="3"/>
      <c r="B87" s="4"/>
      <c r="C87" s="4"/>
      <c r="D87" s="4"/>
      <c r="E87" s="4"/>
      <c r="F87" s="4"/>
      <c r="G87" s="4"/>
      <c r="H87" s="4"/>
    </row>
    <row r="88" ht="15.75" customHeight="1">
      <c r="A88" s="3"/>
      <c r="B88" s="4"/>
      <c r="C88" s="4"/>
      <c r="D88" s="4"/>
      <c r="E88" s="4"/>
      <c r="F88" s="4"/>
      <c r="G88" s="4"/>
      <c r="H88" s="4"/>
    </row>
    <row r="89" ht="15.75" customHeight="1">
      <c r="A89" s="3"/>
      <c r="B89" s="4"/>
      <c r="C89" s="4"/>
      <c r="D89" s="4"/>
      <c r="E89" s="4"/>
      <c r="F89" s="4"/>
      <c r="G89" s="4"/>
      <c r="H89" s="4"/>
    </row>
    <row r="90" ht="15.75" customHeight="1">
      <c r="A90" s="3"/>
      <c r="B90" s="4"/>
      <c r="C90" s="4"/>
      <c r="D90" s="4"/>
      <c r="E90" s="4"/>
      <c r="F90" s="4"/>
      <c r="G90" s="4"/>
      <c r="H90" s="4"/>
    </row>
    <row r="91" ht="15.75" customHeight="1">
      <c r="A91" s="3"/>
      <c r="B91" s="4"/>
      <c r="C91" s="4"/>
      <c r="D91" s="4"/>
      <c r="E91" s="4"/>
      <c r="F91" s="4"/>
      <c r="G91" s="4"/>
      <c r="H91" s="4"/>
    </row>
    <row r="92" ht="15.75" customHeight="1">
      <c r="A92" s="3"/>
      <c r="B92" s="4"/>
      <c r="C92" s="4"/>
      <c r="D92" s="4"/>
      <c r="E92" s="4"/>
      <c r="F92" s="4"/>
      <c r="G92" s="4"/>
      <c r="H92" s="4"/>
    </row>
    <row r="93" ht="15.75" customHeight="1">
      <c r="A93" s="3"/>
      <c r="B93" s="4"/>
      <c r="C93" s="4"/>
      <c r="D93" s="4"/>
      <c r="E93" s="4"/>
      <c r="F93" s="4"/>
      <c r="G93" s="4"/>
      <c r="H93" s="4"/>
    </row>
    <row r="94" ht="15.75" customHeight="1">
      <c r="A94" s="3"/>
      <c r="B94" s="4"/>
      <c r="C94" s="4"/>
      <c r="D94" s="4"/>
      <c r="E94" s="4"/>
      <c r="F94" s="4"/>
      <c r="G94" s="4"/>
      <c r="H94" s="4"/>
    </row>
    <row r="95" ht="15.75" customHeight="1">
      <c r="A95" s="3"/>
      <c r="B95" s="4"/>
      <c r="C95" s="4"/>
      <c r="D95" s="4"/>
      <c r="E95" s="4"/>
      <c r="F95" s="4"/>
      <c r="G95" s="4"/>
      <c r="H95" s="4"/>
    </row>
    <row r="96" ht="15.75" customHeight="1">
      <c r="A96" s="3"/>
      <c r="B96" s="4"/>
      <c r="C96" s="4"/>
      <c r="D96" s="4"/>
      <c r="E96" s="4"/>
      <c r="F96" s="4"/>
      <c r="G96" s="4"/>
      <c r="H96" s="4"/>
    </row>
    <row r="97" ht="15.75" customHeight="1">
      <c r="A97" s="3"/>
      <c r="B97" s="4"/>
      <c r="C97" s="4"/>
      <c r="D97" s="4"/>
      <c r="E97" s="4"/>
      <c r="F97" s="4"/>
      <c r="G97" s="4"/>
      <c r="H97" s="4"/>
    </row>
    <row r="98" ht="15.75" customHeight="1">
      <c r="A98" s="3"/>
      <c r="B98" s="4"/>
      <c r="C98" s="4"/>
      <c r="D98" s="4"/>
      <c r="E98" s="4"/>
      <c r="F98" s="4"/>
      <c r="G98" s="4"/>
      <c r="H98" s="4"/>
    </row>
    <row r="99" ht="15.75" customHeight="1">
      <c r="A99" s="3"/>
      <c r="B99" s="4"/>
      <c r="C99" s="4"/>
      <c r="D99" s="4"/>
      <c r="E99" s="4"/>
      <c r="F99" s="4"/>
      <c r="G99" s="4"/>
      <c r="H99" s="4"/>
    </row>
    <row r="100" ht="15.75" customHeight="1">
      <c r="A100" s="3"/>
      <c r="B100" s="4"/>
      <c r="C100" s="4"/>
      <c r="D100" s="4"/>
      <c r="E100" s="4"/>
      <c r="F100" s="4"/>
      <c r="G100" s="4"/>
      <c r="H100" s="4"/>
    </row>
    <row r="101" ht="15.75" customHeight="1">
      <c r="A101" s="3"/>
      <c r="B101" s="4"/>
      <c r="C101" s="4"/>
      <c r="D101" s="4"/>
      <c r="E101" s="4"/>
      <c r="F101" s="4"/>
      <c r="G101" s="4"/>
      <c r="H101" s="4"/>
    </row>
    <row r="102" ht="15.75" customHeight="1">
      <c r="A102" s="3"/>
      <c r="B102" s="4"/>
      <c r="C102" s="4"/>
      <c r="D102" s="4"/>
      <c r="E102" s="4"/>
      <c r="F102" s="4"/>
      <c r="G102" s="4"/>
      <c r="H102" s="4"/>
    </row>
    <row r="103" ht="15.75" customHeight="1">
      <c r="A103" s="3"/>
      <c r="B103" s="4"/>
      <c r="C103" s="4"/>
      <c r="D103" s="4"/>
      <c r="E103" s="4"/>
      <c r="F103" s="4"/>
      <c r="G103" s="4"/>
      <c r="H103" s="4"/>
    </row>
    <row r="104" ht="15.75" customHeight="1">
      <c r="A104" s="3"/>
      <c r="B104" s="4"/>
      <c r="C104" s="4"/>
      <c r="D104" s="4"/>
      <c r="E104" s="4"/>
      <c r="F104" s="4"/>
      <c r="G104" s="4"/>
      <c r="H104" s="4"/>
    </row>
    <row r="105" ht="15.75" customHeight="1">
      <c r="A105" s="3"/>
      <c r="B105" s="4"/>
      <c r="C105" s="4"/>
      <c r="D105" s="4"/>
      <c r="E105" s="4"/>
      <c r="F105" s="4"/>
      <c r="G105" s="4"/>
      <c r="H105" s="4"/>
    </row>
    <row r="106" ht="15.75" customHeight="1">
      <c r="A106" s="3"/>
      <c r="B106" s="4"/>
      <c r="C106" s="4"/>
      <c r="D106" s="4"/>
      <c r="E106" s="4"/>
      <c r="F106" s="4"/>
      <c r="G106" s="4"/>
      <c r="H106" s="4"/>
    </row>
    <row r="107" ht="15.75" customHeight="1">
      <c r="A107" s="3"/>
      <c r="B107" s="4"/>
      <c r="C107" s="4"/>
      <c r="D107" s="4"/>
      <c r="E107" s="4"/>
      <c r="F107" s="4"/>
      <c r="G107" s="4"/>
      <c r="H107" s="4"/>
    </row>
    <row r="108" ht="15.75" customHeight="1">
      <c r="A108" s="3"/>
      <c r="B108" s="4"/>
      <c r="C108" s="4"/>
      <c r="D108" s="4"/>
      <c r="E108" s="4"/>
      <c r="F108" s="4"/>
      <c r="G108" s="4"/>
      <c r="H108" s="4"/>
    </row>
    <row r="109" ht="15.75" customHeight="1">
      <c r="A109" s="3"/>
      <c r="B109" s="4"/>
      <c r="C109" s="4"/>
      <c r="D109" s="4"/>
      <c r="E109" s="4"/>
      <c r="F109" s="4"/>
      <c r="G109" s="4"/>
      <c r="H109" s="4"/>
    </row>
    <row r="110" ht="15.75" customHeight="1">
      <c r="A110" s="3"/>
      <c r="B110" s="4"/>
      <c r="C110" s="4"/>
      <c r="D110" s="4"/>
      <c r="E110" s="4"/>
      <c r="F110" s="4"/>
      <c r="G110" s="4"/>
      <c r="H110" s="4"/>
    </row>
    <row r="111" ht="15.75" customHeight="1">
      <c r="A111" s="3"/>
      <c r="B111" s="4"/>
      <c r="C111" s="4"/>
      <c r="D111" s="4"/>
      <c r="E111" s="4"/>
      <c r="F111" s="4"/>
      <c r="G111" s="4"/>
      <c r="H111" s="4"/>
    </row>
    <row r="112" ht="15.75" customHeight="1">
      <c r="A112" s="3"/>
      <c r="B112" s="4"/>
      <c r="C112" s="4"/>
      <c r="D112" s="4"/>
      <c r="E112" s="4"/>
      <c r="F112" s="4"/>
      <c r="G112" s="4"/>
      <c r="H112" s="4"/>
    </row>
    <row r="113" ht="15.75" customHeight="1">
      <c r="A113" s="3"/>
      <c r="B113" s="4"/>
      <c r="C113" s="4"/>
      <c r="D113" s="4"/>
      <c r="E113" s="4"/>
      <c r="F113" s="4"/>
      <c r="G113" s="4"/>
      <c r="H113" s="4"/>
    </row>
    <row r="114" ht="15.75" customHeight="1">
      <c r="A114" s="3"/>
      <c r="B114" s="4"/>
      <c r="C114" s="4"/>
      <c r="D114" s="4"/>
      <c r="E114" s="4"/>
      <c r="F114" s="4"/>
      <c r="G114" s="4"/>
      <c r="H114" s="4"/>
    </row>
    <row r="115" ht="15.75" customHeight="1">
      <c r="A115" s="3"/>
      <c r="B115" s="4"/>
      <c r="C115" s="4"/>
      <c r="D115" s="4"/>
      <c r="E115" s="4"/>
      <c r="F115" s="4"/>
      <c r="G115" s="4"/>
      <c r="H115" s="4"/>
    </row>
    <row r="116" ht="15.75" customHeight="1">
      <c r="A116" s="3"/>
      <c r="B116" s="4"/>
      <c r="C116" s="4"/>
      <c r="D116" s="4"/>
      <c r="E116" s="4"/>
      <c r="F116" s="4"/>
      <c r="G116" s="4"/>
      <c r="H116" s="4"/>
    </row>
    <row r="117" ht="15.75" customHeight="1">
      <c r="A117" s="3"/>
      <c r="B117" s="4"/>
      <c r="C117" s="4"/>
      <c r="D117" s="4"/>
      <c r="E117" s="4"/>
      <c r="F117" s="4"/>
      <c r="G117" s="4"/>
      <c r="H117" s="4"/>
    </row>
    <row r="118" ht="15.75" customHeight="1">
      <c r="A118" s="3"/>
      <c r="B118" s="4"/>
      <c r="C118" s="4"/>
      <c r="D118" s="4"/>
      <c r="E118" s="4"/>
      <c r="F118" s="4"/>
      <c r="G118" s="4"/>
      <c r="H118" s="4"/>
    </row>
    <row r="119" ht="15.75" customHeight="1">
      <c r="A119" s="3"/>
      <c r="B119" s="4"/>
      <c r="C119" s="4"/>
      <c r="D119" s="4"/>
      <c r="E119" s="4"/>
      <c r="F119" s="4"/>
      <c r="G119" s="4"/>
      <c r="H119" s="4"/>
    </row>
    <row r="120" ht="15.75" customHeight="1">
      <c r="A120" s="3"/>
      <c r="B120" s="4"/>
      <c r="C120" s="4"/>
      <c r="D120" s="4"/>
      <c r="E120" s="4"/>
      <c r="F120" s="4"/>
      <c r="G120" s="4"/>
      <c r="H120" s="4"/>
    </row>
    <row r="121" ht="15.75" customHeight="1">
      <c r="A121" s="3"/>
      <c r="B121" s="4"/>
      <c r="C121" s="4"/>
      <c r="D121" s="4"/>
      <c r="E121" s="4"/>
      <c r="F121" s="4"/>
      <c r="G121" s="4"/>
      <c r="H121" s="4"/>
    </row>
    <row r="122" ht="15.75" customHeight="1">
      <c r="A122" s="3"/>
      <c r="B122" s="4"/>
      <c r="C122" s="4"/>
      <c r="D122" s="4"/>
      <c r="E122" s="4"/>
      <c r="F122" s="4"/>
      <c r="G122" s="4"/>
      <c r="H122" s="4"/>
    </row>
    <row r="123" ht="15.75" customHeight="1">
      <c r="A123" s="3"/>
      <c r="B123" s="4"/>
      <c r="C123" s="4"/>
      <c r="D123" s="4"/>
      <c r="E123" s="4"/>
      <c r="F123" s="4"/>
      <c r="G123" s="4"/>
      <c r="H123" s="4"/>
    </row>
    <row r="124" ht="15.75" customHeight="1">
      <c r="A124" s="3"/>
      <c r="B124" s="4"/>
      <c r="C124" s="4"/>
      <c r="D124" s="4"/>
      <c r="E124" s="4"/>
      <c r="F124" s="4"/>
      <c r="G124" s="4"/>
      <c r="H124" s="4"/>
    </row>
    <row r="125" ht="15.75" customHeight="1">
      <c r="A125" s="3"/>
      <c r="B125" s="4"/>
      <c r="C125" s="4"/>
      <c r="D125" s="4"/>
      <c r="E125" s="4"/>
      <c r="F125" s="4"/>
      <c r="G125" s="4"/>
      <c r="H125" s="4"/>
    </row>
    <row r="126" ht="15.75" customHeight="1">
      <c r="A126" s="3"/>
      <c r="B126" s="4"/>
      <c r="C126" s="4"/>
      <c r="D126" s="4"/>
      <c r="E126" s="4"/>
      <c r="F126" s="4"/>
      <c r="G126" s="4"/>
      <c r="H126" s="4"/>
    </row>
    <row r="127" ht="15.75" customHeight="1">
      <c r="A127" s="3"/>
      <c r="B127" s="4"/>
      <c r="C127" s="4"/>
      <c r="D127" s="4"/>
      <c r="E127" s="4"/>
      <c r="F127" s="4"/>
      <c r="G127" s="4"/>
      <c r="H127" s="4"/>
    </row>
    <row r="128" ht="15.75" customHeight="1">
      <c r="A128" s="3"/>
      <c r="B128" s="4"/>
      <c r="C128" s="4"/>
      <c r="D128" s="4"/>
      <c r="E128" s="4"/>
      <c r="F128" s="4"/>
      <c r="G128" s="4"/>
      <c r="H128" s="4"/>
    </row>
    <row r="129" ht="15.75" customHeight="1">
      <c r="A129" s="3"/>
      <c r="B129" s="4"/>
      <c r="C129" s="4"/>
      <c r="D129" s="4"/>
      <c r="E129" s="4"/>
      <c r="F129" s="4"/>
      <c r="G129" s="4"/>
      <c r="H129" s="4"/>
    </row>
    <row r="130" ht="15.75" customHeight="1">
      <c r="A130" s="3"/>
      <c r="B130" s="4"/>
      <c r="C130" s="4"/>
      <c r="D130" s="4"/>
      <c r="E130" s="4"/>
      <c r="F130" s="4"/>
      <c r="G130" s="4"/>
      <c r="H130" s="4"/>
    </row>
    <row r="131" ht="15.75" customHeight="1">
      <c r="A131" s="3"/>
      <c r="B131" s="4"/>
      <c r="C131" s="4"/>
      <c r="D131" s="4"/>
      <c r="E131" s="4"/>
      <c r="F131" s="4"/>
      <c r="G131" s="4"/>
      <c r="H131" s="4"/>
    </row>
    <row r="132" ht="15.75" customHeight="1">
      <c r="A132" s="3"/>
      <c r="B132" s="4"/>
      <c r="C132" s="4"/>
      <c r="D132" s="4"/>
      <c r="E132" s="4"/>
      <c r="F132" s="4"/>
      <c r="G132" s="4"/>
      <c r="H132" s="4"/>
    </row>
    <row r="133" ht="15.75" customHeight="1">
      <c r="A133" s="3"/>
      <c r="B133" s="4"/>
      <c r="C133" s="4"/>
      <c r="D133" s="4"/>
      <c r="E133" s="4"/>
      <c r="F133" s="4"/>
      <c r="G133" s="4"/>
      <c r="H133" s="4"/>
    </row>
    <row r="134" ht="15.75" customHeight="1">
      <c r="A134" s="3"/>
      <c r="B134" s="4"/>
      <c r="C134" s="4"/>
      <c r="D134" s="4"/>
      <c r="E134" s="4"/>
      <c r="F134" s="4"/>
      <c r="G134" s="4"/>
      <c r="H134" s="4"/>
    </row>
    <row r="135" ht="15.75" customHeight="1">
      <c r="A135" s="3"/>
      <c r="B135" s="4"/>
      <c r="C135" s="4"/>
      <c r="D135" s="4"/>
      <c r="E135" s="4"/>
      <c r="F135" s="4"/>
      <c r="G135" s="4"/>
      <c r="H135" s="4"/>
    </row>
    <row r="136" ht="15.75" customHeight="1">
      <c r="A136" s="3"/>
      <c r="B136" s="4"/>
      <c r="C136" s="4"/>
      <c r="D136" s="4"/>
      <c r="E136" s="4"/>
      <c r="F136" s="4"/>
      <c r="G136" s="4"/>
      <c r="H136" s="4"/>
    </row>
    <row r="137" ht="15.75" customHeight="1">
      <c r="A137" s="3"/>
      <c r="B137" s="4"/>
      <c r="C137" s="4"/>
      <c r="D137" s="4"/>
      <c r="E137" s="4"/>
      <c r="F137" s="4"/>
      <c r="G137" s="4"/>
      <c r="H137" s="4"/>
    </row>
    <row r="138" ht="15.75" customHeight="1">
      <c r="A138" s="3"/>
      <c r="B138" s="4"/>
      <c r="C138" s="4"/>
      <c r="D138" s="4"/>
      <c r="E138" s="4"/>
      <c r="F138" s="4"/>
      <c r="G138" s="4"/>
      <c r="H138" s="4"/>
    </row>
    <row r="139" ht="15.75" customHeight="1">
      <c r="A139" s="3"/>
      <c r="B139" s="4"/>
      <c r="C139" s="4"/>
      <c r="D139" s="4"/>
      <c r="E139" s="4"/>
      <c r="F139" s="4"/>
      <c r="G139" s="4"/>
      <c r="H139" s="4"/>
    </row>
    <row r="140" ht="15.75" customHeight="1">
      <c r="A140" s="3"/>
      <c r="B140" s="4"/>
      <c r="C140" s="4"/>
      <c r="D140" s="4"/>
      <c r="E140" s="4"/>
      <c r="F140" s="4"/>
      <c r="G140" s="4"/>
      <c r="H140" s="4"/>
    </row>
    <row r="141" ht="15.75" customHeight="1">
      <c r="A141" s="3"/>
      <c r="B141" s="4"/>
      <c r="C141" s="4"/>
      <c r="D141" s="4"/>
      <c r="E141" s="4"/>
      <c r="F141" s="4"/>
      <c r="G141" s="4"/>
      <c r="H141" s="4"/>
    </row>
    <row r="142" ht="15.75" customHeight="1">
      <c r="A142" s="3"/>
      <c r="B142" s="4"/>
      <c r="C142" s="4"/>
      <c r="D142" s="4"/>
      <c r="E142" s="4"/>
      <c r="F142" s="4"/>
      <c r="G142" s="4"/>
      <c r="H142" s="4"/>
    </row>
    <row r="143" ht="15.75" customHeight="1">
      <c r="A143" s="3"/>
      <c r="B143" s="4"/>
      <c r="C143" s="4"/>
      <c r="D143" s="4"/>
      <c r="E143" s="4"/>
      <c r="F143" s="4"/>
      <c r="G143" s="4"/>
      <c r="H143" s="4"/>
    </row>
    <row r="144" ht="15.75" customHeight="1">
      <c r="A144" s="3"/>
      <c r="B144" s="4"/>
      <c r="C144" s="4"/>
      <c r="D144" s="4"/>
      <c r="E144" s="4"/>
      <c r="F144" s="4"/>
      <c r="G144" s="4"/>
      <c r="H144" s="4"/>
    </row>
    <row r="145" ht="15.75" customHeight="1">
      <c r="A145" s="3"/>
      <c r="B145" s="4"/>
      <c r="C145" s="4"/>
      <c r="D145" s="4"/>
      <c r="E145" s="4"/>
      <c r="F145" s="4"/>
      <c r="G145" s="4"/>
      <c r="H145" s="4"/>
    </row>
    <row r="146" ht="15.75" customHeight="1">
      <c r="A146" s="3"/>
      <c r="B146" s="4"/>
      <c r="C146" s="4"/>
      <c r="D146" s="4"/>
      <c r="E146" s="4"/>
      <c r="F146" s="4"/>
      <c r="G146" s="4"/>
      <c r="H146" s="4"/>
    </row>
    <row r="147" ht="15.75" customHeight="1">
      <c r="A147" s="3"/>
      <c r="B147" s="4"/>
      <c r="C147" s="4"/>
      <c r="D147" s="4"/>
      <c r="E147" s="4"/>
      <c r="F147" s="4"/>
      <c r="G147" s="4"/>
      <c r="H147" s="4"/>
    </row>
    <row r="148" ht="15.75" customHeight="1">
      <c r="A148" s="3"/>
      <c r="B148" s="4"/>
      <c r="C148" s="4"/>
      <c r="D148" s="4"/>
      <c r="E148" s="4"/>
      <c r="F148" s="4"/>
      <c r="G148" s="4"/>
      <c r="H148" s="4"/>
    </row>
    <row r="149" ht="15.75" customHeight="1">
      <c r="A149" s="3"/>
      <c r="B149" s="4"/>
      <c r="C149" s="4"/>
      <c r="D149" s="4"/>
      <c r="E149" s="4"/>
      <c r="F149" s="4"/>
      <c r="G149" s="4"/>
      <c r="H149" s="4"/>
    </row>
    <row r="150" ht="15.75" customHeight="1">
      <c r="A150" s="3"/>
      <c r="B150" s="4"/>
      <c r="C150" s="4"/>
      <c r="D150" s="4"/>
      <c r="E150" s="4"/>
      <c r="F150" s="4"/>
      <c r="G150" s="4"/>
      <c r="H150" s="4"/>
    </row>
    <row r="151" ht="15.75" customHeight="1">
      <c r="A151" s="3"/>
      <c r="B151" s="4"/>
      <c r="C151" s="4"/>
      <c r="D151" s="4"/>
      <c r="E151" s="4"/>
      <c r="F151" s="4"/>
      <c r="G151" s="4"/>
      <c r="H151" s="4"/>
    </row>
    <row r="152" ht="15.75" customHeight="1">
      <c r="A152" s="3"/>
      <c r="B152" s="4"/>
      <c r="C152" s="4"/>
      <c r="D152" s="4"/>
      <c r="E152" s="4"/>
      <c r="F152" s="4"/>
      <c r="G152" s="4"/>
      <c r="H152" s="4"/>
    </row>
    <row r="153" ht="15.75" customHeight="1">
      <c r="A153" s="3"/>
      <c r="B153" s="4"/>
      <c r="C153" s="4"/>
      <c r="D153" s="4"/>
      <c r="E153" s="4"/>
      <c r="F153" s="4"/>
      <c r="G153" s="4"/>
      <c r="H153" s="4"/>
    </row>
    <row r="154" ht="15.75" customHeight="1">
      <c r="A154" s="3"/>
      <c r="B154" s="4"/>
      <c r="C154" s="4"/>
      <c r="D154" s="4"/>
      <c r="E154" s="4"/>
      <c r="F154" s="4"/>
      <c r="G154" s="4"/>
      <c r="H154" s="4"/>
    </row>
    <row r="155" ht="15.75" customHeight="1">
      <c r="A155" s="3"/>
      <c r="B155" s="4"/>
      <c r="C155" s="4"/>
      <c r="D155" s="4"/>
      <c r="E155" s="4"/>
      <c r="F155" s="4"/>
      <c r="G155" s="4"/>
      <c r="H155" s="4"/>
    </row>
    <row r="156" ht="15.75" customHeight="1">
      <c r="A156" s="3"/>
      <c r="B156" s="4"/>
      <c r="C156" s="4"/>
      <c r="D156" s="4"/>
      <c r="E156" s="4"/>
      <c r="F156" s="4"/>
      <c r="G156" s="4"/>
      <c r="H156" s="4"/>
    </row>
    <row r="157" ht="15.75" customHeight="1">
      <c r="A157" s="3"/>
      <c r="B157" s="4"/>
      <c r="C157" s="4"/>
      <c r="D157" s="4"/>
      <c r="E157" s="4"/>
      <c r="F157" s="4"/>
      <c r="G157" s="4"/>
      <c r="H157" s="4"/>
    </row>
    <row r="158" ht="15.75" customHeight="1">
      <c r="A158" s="3"/>
      <c r="B158" s="4"/>
      <c r="C158" s="4"/>
      <c r="D158" s="4"/>
      <c r="E158" s="4"/>
      <c r="F158" s="4"/>
      <c r="G158" s="4"/>
      <c r="H158" s="4"/>
    </row>
    <row r="159" ht="15.75" customHeight="1">
      <c r="A159" s="3"/>
      <c r="B159" s="4"/>
      <c r="C159" s="4"/>
      <c r="D159" s="4"/>
      <c r="E159" s="4"/>
      <c r="F159" s="4"/>
      <c r="G159" s="4"/>
      <c r="H159" s="4"/>
    </row>
    <row r="160" ht="15.75" customHeight="1">
      <c r="A160" s="3"/>
      <c r="B160" s="4"/>
      <c r="C160" s="4"/>
      <c r="D160" s="4"/>
      <c r="E160" s="4"/>
      <c r="F160" s="4"/>
      <c r="G160" s="4"/>
      <c r="H160" s="4"/>
    </row>
    <row r="161" ht="15.75" customHeight="1">
      <c r="A161" s="3"/>
      <c r="B161" s="4"/>
      <c r="C161" s="4"/>
      <c r="D161" s="4"/>
      <c r="E161" s="4"/>
      <c r="F161" s="4"/>
      <c r="G161" s="4"/>
      <c r="H161" s="4"/>
    </row>
    <row r="162" ht="15.75" customHeight="1">
      <c r="A162" s="3"/>
      <c r="B162" s="4"/>
      <c r="C162" s="4"/>
      <c r="D162" s="4"/>
      <c r="E162" s="4"/>
      <c r="F162" s="4"/>
      <c r="G162" s="4"/>
      <c r="H162" s="4"/>
    </row>
    <row r="163" ht="15.75" customHeight="1">
      <c r="A163" s="3"/>
      <c r="B163" s="4"/>
      <c r="C163" s="4"/>
      <c r="D163" s="4"/>
      <c r="E163" s="4"/>
      <c r="F163" s="4"/>
      <c r="G163" s="4"/>
      <c r="H163" s="4"/>
    </row>
    <row r="164" ht="15.75" customHeight="1">
      <c r="A164" s="3"/>
      <c r="B164" s="4"/>
      <c r="C164" s="4"/>
      <c r="D164" s="4"/>
      <c r="E164" s="4"/>
      <c r="F164" s="4"/>
      <c r="G164" s="4"/>
      <c r="H164" s="4"/>
    </row>
    <row r="165" ht="15.75" customHeight="1">
      <c r="A165" s="3"/>
      <c r="B165" s="4"/>
      <c r="C165" s="4"/>
      <c r="D165" s="4"/>
      <c r="E165" s="4"/>
      <c r="F165" s="4"/>
      <c r="G165" s="4"/>
      <c r="H165" s="4"/>
    </row>
    <row r="166" ht="15.75" customHeight="1">
      <c r="A166" s="3"/>
      <c r="B166" s="4"/>
      <c r="C166" s="4"/>
      <c r="D166" s="4"/>
      <c r="E166" s="4"/>
      <c r="F166" s="4"/>
      <c r="G166" s="4"/>
      <c r="H166" s="4"/>
    </row>
    <row r="167" ht="15.75" customHeight="1">
      <c r="A167" s="3"/>
      <c r="B167" s="4"/>
      <c r="C167" s="4"/>
      <c r="D167" s="4"/>
      <c r="E167" s="4"/>
      <c r="F167" s="4"/>
      <c r="G167" s="4"/>
      <c r="H167" s="4"/>
    </row>
    <row r="168" ht="15.75" customHeight="1">
      <c r="A168" s="3"/>
      <c r="B168" s="4"/>
      <c r="C168" s="4"/>
      <c r="D168" s="4"/>
      <c r="E168" s="4"/>
      <c r="F168" s="4"/>
      <c r="G168" s="4"/>
      <c r="H168" s="4"/>
    </row>
    <row r="169" ht="15.75" customHeight="1">
      <c r="A169" s="3"/>
      <c r="B169" s="4"/>
      <c r="C169" s="4"/>
      <c r="D169" s="4"/>
      <c r="E169" s="4"/>
      <c r="F169" s="4"/>
      <c r="G169" s="4"/>
      <c r="H169" s="4"/>
    </row>
    <row r="170" ht="15.75" customHeight="1">
      <c r="A170" s="3"/>
      <c r="B170" s="4"/>
      <c r="C170" s="4"/>
      <c r="D170" s="4"/>
      <c r="E170" s="4"/>
      <c r="F170" s="4"/>
      <c r="G170" s="4"/>
      <c r="H170" s="4"/>
    </row>
    <row r="171" ht="15.75" customHeight="1">
      <c r="A171" s="3"/>
      <c r="B171" s="4"/>
      <c r="C171" s="4"/>
      <c r="D171" s="4"/>
      <c r="E171" s="4"/>
      <c r="F171" s="4"/>
      <c r="G171" s="4"/>
      <c r="H171" s="4"/>
    </row>
    <row r="172" ht="15.75" customHeight="1">
      <c r="A172" s="3"/>
      <c r="B172" s="4"/>
      <c r="C172" s="4"/>
      <c r="D172" s="4"/>
      <c r="E172" s="4"/>
      <c r="F172" s="4"/>
      <c r="G172" s="4"/>
      <c r="H172" s="4"/>
    </row>
    <row r="173" ht="15.75" customHeight="1">
      <c r="A173" s="3"/>
      <c r="B173" s="4"/>
      <c r="C173" s="4"/>
      <c r="D173" s="4"/>
      <c r="E173" s="4"/>
      <c r="F173" s="4"/>
      <c r="G173" s="4"/>
      <c r="H173" s="4"/>
    </row>
    <row r="174" ht="15.75" customHeight="1">
      <c r="A174" s="3"/>
      <c r="B174" s="4"/>
      <c r="C174" s="4"/>
      <c r="D174" s="4"/>
      <c r="E174" s="4"/>
      <c r="F174" s="4"/>
      <c r="G174" s="4"/>
      <c r="H174" s="4"/>
    </row>
    <row r="175" ht="15.75" customHeight="1">
      <c r="A175" s="3"/>
      <c r="B175" s="4"/>
      <c r="C175" s="4"/>
      <c r="D175" s="4"/>
      <c r="E175" s="4"/>
      <c r="F175" s="4"/>
      <c r="G175" s="4"/>
      <c r="H175" s="4"/>
    </row>
    <row r="176" ht="15.75" customHeight="1">
      <c r="A176" s="3"/>
      <c r="B176" s="4"/>
      <c r="C176" s="4"/>
      <c r="D176" s="4"/>
      <c r="E176" s="4"/>
      <c r="F176" s="4"/>
      <c r="G176" s="4"/>
      <c r="H176" s="4"/>
    </row>
    <row r="177" ht="15.75" customHeight="1">
      <c r="A177" s="3"/>
      <c r="B177" s="4"/>
      <c r="C177" s="4"/>
      <c r="D177" s="4"/>
      <c r="E177" s="4"/>
      <c r="F177" s="4"/>
      <c r="G177" s="4"/>
      <c r="H177" s="4"/>
    </row>
    <row r="178" ht="15.75" customHeight="1">
      <c r="A178" s="3"/>
      <c r="B178" s="4"/>
      <c r="C178" s="4"/>
      <c r="D178" s="4"/>
      <c r="E178" s="4"/>
      <c r="F178" s="4"/>
      <c r="G178" s="4"/>
      <c r="H178" s="4"/>
    </row>
    <row r="179" ht="15.75" customHeight="1">
      <c r="A179" s="3"/>
      <c r="B179" s="4"/>
      <c r="C179" s="4"/>
      <c r="D179" s="4"/>
      <c r="E179" s="4"/>
      <c r="F179" s="4"/>
      <c r="G179" s="4"/>
      <c r="H179" s="4"/>
    </row>
    <row r="180" ht="15.75" customHeight="1">
      <c r="A180" s="3"/>
      <c r="B180" s="4"/>
      <c r="C180" s="4"/>
      <c r="D180" s="4"/>
      <c r="E180" s="4"/>
      <c r="F180" s="4"/>
      <c r="G180" s="4"/>
      <c r="H180" s="4"/>
    </row>
    <row r="181" ht="15.75" customHeight="1">
      <c r="A181" s="3"/>
      <c r="B181" s="4"/>
      <c r="C181" s="4"/>
      <c r="D181" s="4"/>
      <c r="E181" s="4"/>
      <c r="F181" s="4"/>
      <c r="G181" s="4"/>
      <c r="H181" s="4"/>
    </row>
    <row r="182" ht="15.75" customHeight="1">
      <c r="A182" s="3"/>
      <c r="B182" s="4"/>
      <c r="C182" s="4"/>
      <c r="D182" s="4"/>
      <c r="E182" s="4"/>
      <c r="F182" s="4"/>
      <c r="G182" s="4"/>
      <c r="H182" s="4"/>
    </row>
    <row r="183" ht="15.75" customHeight="1">
      <c r="A183" s="3"/>
      <c r="B183" s="4"/>
      <c r="C183" s="4"/>
      <c r="D183" s="4"/>
      <c r="E183" s="4"/>
      <c r="F183" s="4"/>
      <c r="G183" s="4"/>
      <c r="H183" s="4"/>
    </row>
    <row r="184" ht="15.75" customHeight="1">
      <c r="A184" s="3"/>
      <c r="B184" s="4"/>
      <c r="C184" s="4"/>
      <c r="D184" s="4"/>
      <c r="E184" s="4"/>
      <c r="F184" s="4"/>
      <c r="G184" s="4"/>
      <c r="H184" s="4"/>
    </row>
    <row r="185" ht="15.75" customHeight="1">
      <c r="A185" s="3"/>
      <c r="B185" s="4"/>
      <c r="C185" s="4"/>
      <c r="D185" s="4"/>
      <c r="E185" s="4"/>
      <c r="F185" s="4"/>
      <c r="G185" s="4"/>
      <c r="H185" s="4"/>
    </row>
    <row r="186" ht="15.75" customHeight="1">
      <c r="A186" s="3"/>
      <c r="B186" s="4"/>
      <c r="C186" s="4"/>
      <c r="D186" s="4"/>
      <c r="E186" s="4"/>
      <c r="F186" s="4"/>
      <c r="G186" s="4"/>
      <c r="H186" s="4"/>
    </row>
    <row r="187" ht="15.75" customHeight="1">
      <c r="A187" s="3"/>
      <c r="B187" s="4"/>
      <c r="C187" s="4"/>
      <c r="D187" s="4"/>
      <c r="E187" s="4"/>
      <c r="F187" s="4"/>
      <c r="G187" s="4"/>
      <c r="H187" s="4"/>
    </row>
    <row r="188" ht="15.75" customHeight="1">
      <c r="A188" s="3"/>
      <c r="B188" s="4"/>
      <c r="C188" s="4"/>
      <c r="D188" s="4"/>
      <c r="E188" s="4"/>
      <c r="F188" s="4"/>
      <c r="G188" s="4"/>
      <c r="H188" s="4"/>
    </row>
    <row r="189" ht="15.75" customHeight="1">
      <c r="A189" s="3"/>
      <c r="B189" s="4"/>
      <c r="C189" s="4"/>
      <c r="D189" s="4"/>
      <c r="E189" s="4"/>
      <c r="F189" s="4"/>
      <c r="G189" s="4"/>
      <c r="H189" s="4"/>
    </row>
    <row r="190" ht="15.75" customHeight="1">
      <c r="A190" s="3"/>
      <c r="B190" s="4"/>
      <c r="C190" s="4"/>
      <c r="D190" s="4"/>
      <c r="E190" s="4"/>
      <c r="F190" s="4"/>
      <c r="G190" s="4"/>
      <c r="H190" s="4"/>
    </row>
    <row r="191" ht="15.75" customHeight="1">
      <c r="A191" s="3"/>
      <c r="B191" s="4"/>
      <c r="C191" s="4"/>
      <c r="D191" s="4"/>
      <c r="E191" s="4"/>
      <c r="F191" s="4"/>
      <c r="G191" s="4"/>
      <c r="H191" s="4"/>
    </row>
    <row r="192" ht="15.75" customHeight="1">
      <c r="A192" s="3"/>
      <c r="B192" s="4"/>
      <c r="C192" s="4"/>
      <c r="D192" s="4"/>
      <c r="E192" s="4"/>
      <c r="F192" s="4"/>
      <c r="G192" s="4"/>
      <c r="H192" s="4"/>
    </row>
    <row r="193" ht="15.75" customHeight="1">
      <c r="A193" s="3"/>
      <c r="B193" s="4"/>
      <c r="C193" s="4"/>
      <c r="D193" s="4"/>
      <c r="E193" s="4"/>
      <c r="F193" s="4"/>
      <c r="G193" s="4"/>
      <c r="H193" s="4"/>
    </row>
    <row r="194" ht="15.75" customHeight="1">
      <c r="A194" s="3"/>
      <c r="B194" s="4"/>
      <c r="C194" s="4"/>
      <c r="D194" s="4"/>
      <c r="E194" s="4"/>
      <c r="F194" s="4"/>
      <c r="G194" s="4"/>
      <c r="H194" s="4"/>
    </row>
    <row r="195" ht="15.75" customHeight="1">
      <c r="A195" s="3"/>
      <c r="B195" s="4"/>
      <c r="C195" s="4"/>
      <c r="D195" s="4"/>
      <c r="E195" s="4"/>
      <c r="F195" s="4"/>
      <c r="G195" s="4"/>
      <c r="H195" s="4"/>
    </row>
    <row r="196" ht="15.75" customHeight="1">
      <c r="A196" s="3"/>
      <c r="B196" s="4"/>
      <c r="C196" s="4"/>
      <c r="D196" s="4"/>
      <c r="E196" s="4"/>
      <c r="F196" s="4"/>
      <c r="G196" s="4"/>
      <c r="H196" s="4"/>
    </row>
    <row r="197" ht="15.75" customHeight="1">
      <c r="A197" s="3"/>
      <c r="B197" s="4"/>
      <c r="C197" s="4"/>
      <c r="D197" s="4"/>
      <c r="E197" s="4"/>
      <c r="F197" s="4"/>
      <c r="G197" s="4"/>
      <c r="H197" s="4"/>
    </row>
    <row r="198" ht="15.75" customHeight="1">
      <c r="A198" s="3"/>
      <c r="B198" s="4"/>
      <c r="C198" s="4"/>
      <c r="D198" s="4"/>
      <c r="E198" s="4"/>
      <c r="F198" s="4"/>
      <c r="G198" s="4"/>
      <c r="H198" s="4"/>
    </row>
    <row r="199" ht="15.75" customHeight="1">
      <c r="A199" s="3"/>
      <c r="B199" s="4"/>
      <c r="C199" s="4"/>
      <c r="D199" s="4"/>
      <c r="E199" s="4"/>
      <c r="F199" s="4"/>
      <c r="G199" s="4"/>
      <c r="H199" s="4"/>
    </row>
    <row r="200" ht="15.75" customHeight="1">
      <c r="A200" s="3"/>
      <c r="B200" s="4"/>
      <c r="C200" s="4"/>
      <c r="D200" s="4"/>
      <c r="E200" s="4"/>
      <c r="F200" s="4"/>
      <c r="G200" s="4"/>
      <c r="H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H1"/>
    <mergeCell ref="A2:H2"/>
    <mergeCell ref="A4:C4"/>
    <mergeCell ref="F4:H4"/>
    <mergeCell ref="F10:H10"/>
    <mergeCell ref="A11:D11"/>
    <mergeCell ref="A19:D19"/>
    <mergeCell ref="A27:D2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8" width="10.0"/>
    <col customWidth="1" min="9" max="9" width="5.88"/>
    <col customWidth="1" min="10" max="10" width="12.0"/>
    <col customWidth="1" min="11" max="11" width="29.38"/>
    <col customWidth="1" min="12" max="12" width="25.38"/>
    <col customWidth="1" min="13" max="13" width="20.0"/>
    <col customWidth="1" min="14" max="14" width="2.0"/>
    <col customWidth="1" min="15" max="15" width="12.0"/>
    <col customWidth="1" min="16" max="16" width="10.0"/>
    <col customWidth="1" min="17" max="17" width="14.0"/>
    <col customWidth="1" min="18" max="18" width="16.88"/>
    <col customWidth="1" min="19" max="20" width="8.63"/>
  </cols>
  <sheetData>
    <row r="1" ht="27.75" customHeight="1">
      <c r="A1" s="15" t="s">
        <v>79</v>
      </c>
      <c r="J1" s="4"/>
      <c r="K1" s="4"/>
      <c r="L1" s="4"/>
      <c r="M1" s="4"/>
      <c r="N1" s="4"/>
      <c r="O1" s="4"/>
      <c r="P1" s="4"/>
      <c r="Q1" s="4"/>
      <c r="R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ht="24.0" customHeight="1">
      <c r="A3" s="16" t="s">
        <v>80</v>
      </c>
      <c r="B3" s="17"/>
      <c r="C3" s="17"/>
      <c r="D3" s="17"/>
      <c r="E3" s="17"/>
      <c r="F3" s="17"/>
      <c r="G3" s="17"/>
      <c r="H3" s="17"/>
      <c r="I3" s="18"/>
      <c r="J3" s="16" t="s">
        <v>81</v>
      </c>
      <c r="K3" s="17"/>
      <c r="L3" s="17"/>
      <c r="M3" s="18"/>
      <c r="N3" s="4"/>
      <c r="O3" s="16" t="s">
        <v>82</v>
      </c>
      <c r="P3" s="17"/>
      <c r="Q3" s="17"/>
      <c r="R3" s="18"/>
    </row>
    <row r="4" ht="24.0" customHeight="1">
      <c r="A4" s="19" t="s">
        <v>83</v>
      </c>
      <c r="B4" s="19" t="s">
        <v>84</v>
      </c>
      <c r="C4" s="19" t="s">
        <v>85</v>
      </c>
      <c r="D4" s="19" t="s">
        <v>86</v>
      </c>
      <c r="E4" s="19" t="s">
        <v>87</v>
      </c>
      <c r="F4" s="19" t="s">
        <v>88</v>
      </c>
      <c r="G4" s="19" t="s">
        <v>89</v>
      </c>
      <c r="H4" s="19" t="s">
        <v>90</v>
      </c>
      <c r="I4" s="4"/>
      <c r="J4" s="19" t="s">
        <v>91</v>
      </c>
      <c r="K4" s="19" t="s">
        <v>92</v>
      </c>
      <c r="L4" s="19" t="s">
        <v>93</v>
      </c>
      <c r="M4" s="19" t="s">
        <v>94</v>
      </c>
      <c r="N4" s="4"/>
      <c r="O4" s="19" t="s">
        <v>91</v>
      </c>
      <c r="P4" s="19" t="s">
        <v>95</v>
      </c>
      <c r="Q4" s="19" t="s">
        <v>96</v>
      </c>
      <c r="R4" s="19" t="s">
        <v>97</v>
      </c>
    </row>
    <row r="5" ht="21.75" customHeight="1">
      <c r="A5" s="20" t="s">
        <v>98</v>
      </c>
      <c r="B5" s="21" t="s">
        <v>99</v>
      </c>
      <c r="C5" s="21" t="s">
        <v>99</v>
      </c>
      <c r="D5" s="21" t="s">
        <v>99</v>
      </c>
      <c r="E5" s="21" t="s">
        <v>99</v>
      </c>
      <c r="F5" s="21" t="s">
        <v>99</v>
      </c>
      <c r="G5" s="21" t="s">
        <v>99</v>
      </c>
      <c r="H5" s="21" t="s">
        <v>99</v>
      </c>
      <c r="I5" s="4"/>
      <c r="J5" s="22" t="s">
        <v>99</v>
      </c>
      <c r="K5" s="23" t="s">
        <v>100</v>
      </c>
      <c r="L5" s="22" t="s">
        <v>101</v>
      </c>
      <c r="M5" s="23" t="s">
        <v>102</v>
      </c>
      <c r="N5" s="4"/>
      <c r="O5" s="22" t="s">
        <v>99</v>
      </c>
      <c r="P5" s="24">
        <f t="shared" ref="P5:P11" si="1">COUNTIF($B$5:$H$52,O5)</f>
        <v>112</v>
      </c>
      <c r="Q5" s="24">
        <f t="shared" ref="Q5:Q12" si="2">P5*30</f>
        <v>3360</v>
      </c>
      <c r="R5" s="24">
        <f t="shared" ref="R5:R12" si="3">Q5/60</f>
        <v>56</v>
      </c>
    </row>
    <row r="6" ht="21.75" customHeight="1">
      <c r="A6" s="20" t="s">
        <v>103</v>
      </c>
      <c r="B6" s="21" t="s">
        <v>99</v>
      </c>
      <c r="C6" s="21" t="s">
        <v>99</v>
      </c>
      <c r="D6" s="21" t="s">
        <v>99</v>
      </c>
      <c r="E6" s="21" t="s">
        <v>99</v>
      </c>
      <c r="F6" s="21" t="s">
        <v>99</v>
      </c>
      <c r="G6" s="21" t="s">
        <v>99</v>
      </c>
      <c r="H6" s="21" t="s">
        <v>99</v>
      </c>
      <c r="I6" s="4"/>
      <c r="J6" s="25" t="s">
        <v>104</v>
      </c>
      <c r="K6" s="23" t="s">
        <v>105</v>
      </c>
      <c r="L6" s="25" t="s">
        <v>106</v>
      </c>
      <c r="M6" s="23" t="s">
        <v>107</v>
      </c>
      <c r="N6" s="4"/>
      <c r="O6" s="25" t="s">
        <v>104</v>
      </c>
      <c r="P6" s="24">
        <f t="shared" si="1"/>
        <v>80</v>
      </c>
      <c r="Q6" s="24">
        <f t="shared" si="2"/>
        <v>2400</v>
      </c>
      <c r="R6" s="24">
        <f t="shared" si="3"/>
        <v>40</v>
      </c>
    </row>
    <row r="7" ht="21.75" customHeight="1">
      <c r="A7" s="20" t="s">
        <v>108</v>
      </c>
      <c r="B7" s="21" t="s">
        <v>99</v>
      </c>
      <c r="C7" s="21" t="s">
        <v>99</v>
      </c>
      <c r="D7" s="21" t="s">
        <v>99</v>
      </c>
      <c r="E7" s="21" t="s">
        <v>99</v>
      </c>
      <c r="F7" s="21" t="s">
        <v>99</v>
      </c>
      <c r="G7" s="21" t="s">
        <v>99</v>
      </c>
      <c r="H7" s="21" t="s">
        <v>99</v>
      </c>
      <c r="I7" s="4"/>
      <c r="J7" s="26" t="s">
        <v>109</v>
      </c>
      <c r="K7" s="23" t="s">
        <v>110</v>
      </c>
      <c r="L7" s="26" t="s">
        <v>111</v>
      </c>
      <c r="M7" s="23" t="s">
        <v>112</v>
      </c>
      <c r="N7" s="4"/>
      <c r="O7" s="26" t="s">
        <v>109</v>
      </c>
      <c r="P7" s="24">
        <f t="shared" si="1"/>
        <v>7</v>
      </c>
      <c r="Q7" s="24">
        <f t="shared" si="2"/>
        <v>210</v>
      </c>
      <c r="R7" s="24">
        <f t="shared" si="3"/>
        <v>3.5</v>
      </c>
    </row>
    <row r="8" ht="21.75" customHeight="1">
      <c r="A8" s="20" t="s">
        <v>113</v>
      </c>
      <c r="B8" s="21" t="s">
        <v>99</v>
      </c>
      <c r="C8" s="21" t="s">
        <v>99</v>
      </c>
      <c r="D8" s="21" t="s">
        <v>99</v>
      </c>
      <c r="E8" s="21" t="s">
        <v>99</v>
      </c>
      <c r="F8" s="21" t="s">
        <v>99</v>
      </c>
      <c r="G8" s="21" t="s">
        <v>99</v>
      </c>
      <c r="H8" s="21" t="s">
        <v>99</v>
      </c>
      <c r="I8" s="4"/>
      <c r="J8" s="27" t="s">
        <v>114</v>
      </c>
      <c r="K8" s="23" t="s">
        <v>115</v>
      </c>
      <c r="L8" s="27" t="s">
        <v>116</v>
      </c>
      <c r="M8" s="23" t="s">
        <v>117</v>
      </c>
      <c r="N8" s="4"/>
      <c r="O8" s="27" t="s">
        <v>114</v>
      </c>
      <c r="P8" s="24">
        <f t="shared" si="1"/>
        <v>35</v>
      </c>
      <c r="Q8" s="24">
        <f t="shared" si="2"/>
        <v>1050</v>
      </c>
      <c r="R8" s="24">
        <f t="shared" si="3"/>
        <v>17.5</v>
      </c>
    </row>
    <row r="9" ht="21.75" customHeight="1">
      <c r="A9" s="20" t="s">
        <v>118</v>
      </c>
      <c r="B9" s="21" t="s">
        <v>99</v>
      </c>
      <c r="C9" s="21" t="s">
        <v>99</v>
      </c>
      <c r="D9" s="21" t="s">
        <v>99</v>
      </c>
      <c r="E9" s="21" t="s">
        <v>99</v>
      </c>
      <c r="F9" s="21" t="s">
        <v>99</v>
      </c>
      <c r="G9" s="21" t="s">
        <v>99</v>
      </c>
      <c r="H9" s="21" t="s">
        <v>99</v>
      </c>
      <c r="I9" s="4"/>
      <c r="J9" s="28" t="s">
        <v>119</v>
      </c>
      <c r="K9" s="23" t="s">
        <v>120</v>
      </c>
      <c r="L9" s="28" t="s">
        <v>121</v>
      </c>
      <c r="M9" s="23" t="s">
        <v>122</v>
      </c>
      <c r="N9" s="4"/>
      <c r="O9" s="28" t="s">
        <v>119</v>
      </c>
      <c r="P9" s="24">
        <f t="shared" si="1"/>
        <v>20</v>
      </c>
      <c r="Q9" s="24">
        <f t="shared" si="2"/>
        <v>600</v>
      </c>
      <c r="R9" s="24">
        <f t="shared" si="3"/>
        <v>10</v>
      </c>
    </row>
    <row r="10" ht="21.75" customHeight="1">
      <c r="A10" s="20" t="s">
        <v>123</v>
      </c>
      <c r="B10" s="21" t="s">
        <v>99</v>
      </c>
      <c r="C10" s="21" t="s">
        <v>99</v>
      </c>
      <c r="D10" s="21" t="s">
        <v>99</v>
      </c>
      <c r="E10" s="21" t="s">
        <v>99</v>
      </c>
      <c r="F10" s="21" t="s">
        <v>99</v>
      </c>
      <c r="G10" s="21" t="s">
        <v>99</v>
      </c>
      <c r="H10" s="21" t="s">
        <v>99</v>
      </c>
      <c r="I10" s="4"/>
      <c r="J10" s="29" t="s">
        <v>124</v>
      </c>
      <c r="K10" s="23" t="s">
        <v>125</v>
      </c>
      <c r="L10" s="29" t="s">
        <v>126</v>
      </c>
      <c r="M10" s="23" t="s">
        <v>127</v>
      </c>
      <c r="N10" s="4"/>
      <c r="O10" s="29" t="s">
        <v>124</v>
      </c>
      <c r="P10" s="24">
        <f t="shared" si="1"/>
        <v>61</v>
      </c>
      <c r="Q10" s="24">
        <f t="shared" si="2"/>
        <v>1830</v>
      </c>
      <c r="R10" s="24">
        <f t="shared" si="3"/>
        <v>30.5</v>
      </c>
    </row>
    <row r="11" ht="21.75" customHeight="1">
      <c r="A11" s="20" t="s">
        <v>128</v>
      </c>
      <c r="B11" s="21" t="s">
        <v>99</v>
      </c>
      <c r="C11" s="21" t="s">
        <v>99</v>
      </c>
      <c r="D11" s="21" t="s">
        <v>99</v>
      </c>
      <c r="E11" s="21" t="s">
        <v>99</v>
      </c>
      <c r="F11" s="21" t="s">
        <v>99</v>
      </c>
      <c r="G11" s="21" t="s">
        <v>99</v>
      </c>
      <c r="H11" s="21" t="s">
        <v>99</v>
      </c>
      <c r="I11" s="4"/>
      <c r="J11" s="30" t="s">
        <v>129</v>
      </c>
      <c r="K11" s="23" t="s">
        <v>130</v>
      </c>
      <c r="L11" s="30" t="s">
        <v>131</v>
      </c>
      <c r="M11" s="23" t="s">
        <v>132</v>
      </c>
      <c r="N11" s="4"/>
      <c r="O11" s="30" t="s">
        <v>129</v>
      </c>
      <c r="P11" s="24">
        <f t="shared" si="1"/>
        <v>21</v>
      </c>
      <c r="Q11" s="24">
        <f t="shared" si="2"/>
        <v>630</v>
      </c>
      <c r="R11" s="24">
        <f t="shared" si="3"/>
        <v>10.5</v>
      </c>
    </row>
    <row r="12" ht="21.75" customHeight="1">
      <c r="A12" s="20" t="s">
        <v>133</v>
      </c>
      <c r="B12" s="21" t="s">
        <v>99</v>
      </c>
      <c r="C12" s="21" t="s">
        <v>99</v>
      </c>
      <c r="D12" s="21" t="s">
        <v>99</v>
      </c>
      <c r="E12" s="21" t="s">
        <v>99</v>
      </c>
      <c r="F12" s="21" t="s">
        <v>99</v>
      </c>
      <c r="G12" s="21" t="s">
        <v>99</v>
      </c>
      <c r="H12" s="21" t="s">
        <v>99</v>
      </c>
      <c r="I12" s="4"/>
      <c r="J12" s="30" t="s">
        <v>134</v>
      </c>
      <c r="K12" s="23" t="s">
        <v>135</v>
      </c>
      <c r="L12" s="30" t="s">
        <v>136</v>
      </c>
      <c r="M12" s="23" t="s">
        <v>137</v>
      </c>
      <c r="N12" s="4"/>
      <c r="O12" s="30" t="s">
        <v>134</v>
      </c>
      <c r="P12" s="24">
        <f>COUNTBLANK($B$5:$H$52)</f>
        <v>0</v>
      </c>
      <c r="Q12" s="24">
        <f t="shared" si="2"/>
        <v>0</v>
      </c>
      <c r="R12" s="24">
        <f t="shared" si="3"/>
        <v>0</v>
      </c>
    </row>
    <row r="13" ht="21.75" customHeight="1">
      <c r="A13" s="20" t="s">
        <v>138</v>
      </c>
      <c r="B13" s="21" t="s">
        <v>99</v>
      </c>
      <c r="C13" s="21" t="s">
        <v>99</v>
      </c>
      <c r="D13" s="21" t="s">
        <v>99</v>
      </c>
      <c r="E13" s="21" t="s">
        <v>99</v>
      </c>
      <c r="F13" s="21" t="s">
        <v>99</v>
      </c>
      <c r="G13" s="21" t="s">
        <v>99</v>
      </c>
      <c r="H13" s="21" t="s">
        <v>99</v>
      </c>
      <c r="I13" s="4"/>
      <c r="J13" s="4"/>
      <c r="K13" s="4"/>
      <c r="L13" s="4"/>
      <c r="M13" s="4"/>
      <c r="N13" s="4"/>
      <c r="O13" s="4"/>
      <c r="P13" s="4"/>
      <c r="Q13" s="4"/>
      <c r="R13" s="4"/>
    </row>
    <row r="14" ht="21.75" customHeight="1">
      <c r="A14" s="20" t="s">
        <v>139</v>
      </c>
      <c r="B14" s="21" t="s">
        <v>99</v>
      </c>
      <c r="C14" s="21" t="s">
        <v>99</v>
      </c>
      <c r="D14" s="21" t="s">
        <v>99</v>
      </c>
      <c r="E14" s="21" t="s">
        <v>99</v>
      </c>
      <c r="F14" s="21" t="s">
        <v>99</v>
      </c>
      <c r="G14" s="21" t="s">
        <v>99</v>
      </c>
      <c r="H14" s="21" t="s">
        <v>99</v>
      </c>
      <c r="I14" s="4"/>
      <c r="J14" s="4"/>
      <c r="K14" s="4"/>
      <c r="L14" s="4"/>
      <c r="M14" s="4"/>
      <c r="N14" s="4"/>
      <c r="O14" s="4"/>
      <c r="P14" s="4"/>
      <c r="Q14" s="4"/>
      <c r="R14" s="4"/>
    </row>
    <row r="15" ht="21.75" customHeight="1">
      <c r="A15" s="20" t="s">
        <v>140</v>
      </c>
      <c r="B15" s="21" t="s">
        <v>99</v>
      </c>
      <c r="C15" s="21" t="s">
        <v>99</v>
      </c>
      <c r="D15" s="21" t="s">
        <v>99</v>
      </c>
      <c r="E15" s="21" t="s">
        <v>99</v>
      </c>
      <c r="F15" s="21" t="s">
        <v>99</v>
      </c>
      <c r="G15" s="21" t="s">
        <v>99</v>
      </c>
      <c r="H15" s="21" t="s">
        <v>99</v>
      </c>
      <c r="I15" s="4"/>
      <c r="J15" s="4"/>
      <c r="K15" s="4"/>
      <c r="L15" s="4"/>
      <c r="M15" s="4"/>
      <c r="N15" s="4"/>
      <c r="O15" s="4"/>
      <c r="P15" s="4"/>
      <c r="Q15" s="4"/>
      <c r="R15" s="4"/>
    </row>
    <row r="16" ht="21.75" customHeight="1">
      <c r="A16" s="20" t="s">
        <v>141</v>
      </c>
      <c r="B16" s="21" t="s">
        <v>99</v>
      </c>
      <c r="C16" s="21" t="s">
        <v>99</v>
      </c>
      <c r="D16" s="21" t="s">
        <v>99</v>
      </c>
      <c r="E16" s="21" t="s">
        <v>99</v>
      </c>
      <c r="F16" s="21" t="s">
        <v>99</v>
      </c>
      <c r="G16" s="21" t="s">
        <v>99</v>
      </c>
      <c r="H16" s="21" t="s">
        <v>99</v>
      </c>
      <c r="I16" s="4"/>
      <c r="J16" s="4"/>
      <c r="K16" s="4"/>
      <c r="L16" s="4"/>
      <c r="M16" s="4"/>
      <c r="N16" s="4"/>
      <c r="O16" s="4"/>
      <c r="P16" s="4"/>
      <c r="Q16" s="4"/>
      <c r="R16" s="4"/>
    </row>
    <row r="17" ht="21.75" customHeight="1">
      <c r="A17" s="20" t="s">
        <v>142</v>
      </c>
      <c r="B17" s="26" t="s">
        <v>109</v>
      </c>
      <c r="C17" s="26" t="s">
        <v>109</v>
      </c>
      <c r="D17" s="26" t="s">
        <v>109</v>
      </c>
      <c r="E17" s="26" t="s">
        <v>109</v>
      </c>
      <c r="F17" s="26" t="s">
        <v>109</v>
      </c>
      <c r="G17" s="26" t="s">
        <v>109</v>
      </c>
      <c r="H17" s="26" t="s">
        <v>109</v>
      </c>
      <c r="I17" s="4"/>
      <c r="J17" s="4"/>
      <c r="K17" s="4"/>
      <c r="L17" s="4"/>
      <c r="M17" s="4"/>
      <c r="N17" s="4"/>
      <c r="O17" s="4"/>
      <c r="P17" s="4"/>
      <c r="Q17" s="4"/>
      <c r="R17" s="4"/>
    </row>
    <row r="18" ht="21.75" customHeight="1">
      <c r="A18" s="20" t="s">
        <v>143</v>
      </c>
      <c r="B18" s="31" t="s">
        <v>114</v>
      </c>
      <c r="C18" s="31" t="s">
        <v>114</v>
      </c>
      <c r="D18" s="31" t="s">
        <v>114</v>
      </c>
      <c r="E18" s="31" t="s">
        <v>114</v>
      </c>
      <c r="F18" s="31" t="s">
        <v>114</v>
      </c>
      <c r="G18" s="31" t="s">
        <v>114</v>
      </c>
      <c r="H18" s="31" t="s">
        <v>114</v>
      </c>
      <c r="I18" s="4"/>
      <c r="J18" s="4"/>
      <c r="K18" s="4"/>
      <c r="L18" s="4"/>
      <c r="M18" s="4"/>
      <c r="N18" s="4"/>
      <c r="O18" s="4"/>
      <c r="P18" s="4"/>
      <c r="Q18" s="4"/>
      <c r="R18" s="4"/>
    </row>
    <row r="19" ht="21.75" customHeight="1">
      <c r="A19" s="20" t="s">
        <v>144</v>
      </c>
      <c r="B19" s="31" t="s">
        <v>114</v>
      </c>
      <c r="C19" s="31" t="s">
        <v>114</v>
      </c>
      <c r="D19" s="31" t="s">
        <v>114</v>
      </c>
      <c r="E19" s="31" t="s">
        <v>114</v>
      </c>
      <c r="F19" s="31" t="s">
        <v>114</v>
      </c>
      <c r="G19" s="31" t="s">
        <v>114</v>
      </c>
      <c r="H19" s="31" t="s">
        <v>114</v>
      </c>
      <c r="I19" s="4"/>
      <c r="J19" s="4"/>
      <c r="K19" s="4"/>
      <c r="L19" s="4"/>
      <c r="M19" s="4"/>
      <c r="N19" s="4"/>
      <c r="O19" s="4"/>
      <c r="P19" s="4"/>
      <c r="Q19" s="4"/>
      <c r="R19" s="4"/>
    </row>
    <row r="20" ht="21.75" customHeight="1">
      <c r="A20" s="20" t="s">
        <v>145</v>
      </c>
      <c r="B20" s="32" t="s">
        <v>119</v>
      </c>
      <c r="C20" s="32" t="s">
        <v>119</v>
      </c>
      <c r="D20" s="32" t="s">
        <v>119</v>
      </c>
      <c r="E20" s="32" t="s">
        <v>119</v>
      </c>
      <c r="F20" s="32" t="s">
        <v>119</v>
      </c>
      <c r="G20" s="33" t="s">
        <v>124</v>
      </c>
      <c r="H20" s="33" t="s">
        <v>124</v>
      </c>
      <c r="I20" s="4"/>
      <c r="J20" s="4"/>
      <c r="K20" s="4"/>
      <c r="L20" s="4"/>
      <c r="M20" s="4"/>
      <c r="N20" s="4"/>
      <c r="O20" s="4"/>
      <c r="P20" s="4"/>
      <c r="Q20" s="4"/>
      <c r="R20" s="4"/>
    </row>
    <row r="21" ht="21.75" customHeight="1">
      <c r="A21" s="20" t="s">
        <v>146</v>
      </c>
      <c r="B21" s="32" t="s">
        <v>119</v>
      </c>
      <c r="C21" s="32" t="s">
        <v>119</v>
      </c>
      <c r="D21" s="32" t="s">
        <v>119</v>
      </c>
      <c r="E21" s="32" t="s">
        <v>119</v>
      </c>
      <c r="F21" s="32" t="s">
        <v>119</v>
      </c>
      <c r="G21" s="33" t="s">
        <v>124</v>
      </c>
      <c r="H21" s="33" t="s">
        <v>124</v>
      </c>
      <c r="I21" s="4"/>
      <c r="J21" s="4"/>
      <c r="K21" s="4"/>
      <c r="L21" s="4"/>
      <c r="M21" s="4"/>
      <c r="N21" s="4"/>
      <c r="O21" s="4"/>
      <c r="P21" s="4"/>
      <c r="Q21" s="4"/>
      <c r="R21" s="4"/>
    </row>
    <row r="22" ht="21.75" customHeight="1">
      <c r="A22" s="20" t="s">
        <v>147</v>
      </c>
      <c r="B22" s="32" t="s">
        <v>119</v>
      </c>
      <c r="C22" s="32" t="s">
        <v>119</v>
      </c>
      <c r="D22" s="32" t="s">
        <v>119</v>
      </c>
      <c r="E22" s="32" t="s">
        <v>119</v>
      </c>
      <c r="F22" s="32" t="s">
        <v>119</v>
      </c>
      <c r="G22" s="33" t="s">
        <v>124</v>
      </c>
      <c r="H22" s="33" t="s">
        <v>124</v>
      </c>
      <c r="I22" s="4"/>
      <c r="J22" s="4"/>
      <c r="K22" s="4"/>
      <c r="L22" s="4"/>
      <c r="M22" s="4"/>
      <c r="N22" s="4"/>
      <c r="O22" s="4"/>
      <c r="P22" s="4"/>
      <c r="Q22" s="4"/>
      <c r="R22" s="4"/>
    </row>
    <row r="23" ht="21.75" customHeight="1">
      <c r="A23" s="20" t="s">
        <v>148</v>
      </c>
      <c r="B23" s="32" t="s">
        <v>119</v>
      </c>
      <c r="C23" s="32" t="s">
        <v>119</v>
      </c>
      <c r="D23" s="32" t="s">
        <v>119</v>
      </c>
      <c r="E23" s="32" t="s">
        <v>119</v>
      </c>
      <c r="F23" s="32" t="s">
        <v>119</v>
      </c>
      <c r="G23" s="33" t="s">
        <v>124</v>
      </c>
      <c r="H23" s="33" t="s">
        <v>124</v>
      </c>
      <c r="I23" s="4"/>
      <c r="J23" s="4"/>
      <c r="K23" s="4"/>
      <c r="L23" s="4"/>
      <c r="M23" s="4"/>
      <c r="N23" s="4"/>
      <c r="O23" s="4"/>
      <c r="P23" s="4"/>
      <c r="Q23" s="4"/>
      <c r="R23" s="4"/>
    </row>
    <row r="24" ht="21.75" customHeight="1">
      <c r="A24" s="20" t="s">
        <v>149</v>
      </c>
      <c r="B24" s="34" t="s">
        <v>104</v>
      </c>
      <c r="C24" s="34" t="s">
        <v>104</v>
      </c>
      <c r="D24" s="34" t="s">
        <v>104</v>
      </c>
      <c r="E24" s="34" t="s">
        <v>104</v>
      </c>
      <c r="F24" s="34" t="s">
        <v>104</v>
      </c>
      <c r="G24" s="33" t="s">
        <v>124</v>
      </c>
      <c r="H24" s="33" t="s">
        <v>124</v>
      </c>
      <c r="I24" s="4"/>
      <c r="J24" s="4"/>
      <c r="K24" s="4"/>
      <c r="L24" s="4"/>
      <c r="M24" s="4"/>
      <c r="N24" s="4"/>
      <c r="O24" s="4"/>
      <c r="P24" s="4"/>
      <c r="Q24" s="4"/>
      <c r="R24" s="4"/>
    </row>
    <row r="25" ht="21.75" customHeight="1">
      <c r="A25" s="20" t="s">
        <v>150</v>
      </c>
      <c r="B25" s="34" t="s">
        <v>104</v>
      </c>
      <c r="C25" s="34" t="s">
        <v>104</v>
      </c>
      <c r="D25" s="34" t="s">
        <v>104</v>
      </c>
      <c r="E25" s="34" t="s">
        <v>104</v>
      </c>
      <c r="F25" s="34" t="s">
        <v>104</v>
      </c>
      <c r="G25" s="33" t="s">
        <v>124</v>
      </c>
      <c r="H25" s="33" t="s">
        <v>124</v>
      </c>
      <c r="I25" s="4"/>
      <c r="J25" s="4"/>
      <c r="K25" s="4"/>
      <c r="L25" s="4"/>
      <c r="M25" s="4"/>
      <c r="N25" s="4"/>
      <c r="O25" s="4"/>
      <c r="P25" s="4"/>
      <c r="Q25" s="4"/>
      <c r="R25" s="4"/>
    </row>
    <row r="26" ht="21.75" customHeight="1">
      <c r="A26" s="20" t="s">
        <v>151</v>
      </c>
      <c r="B26" s="34" t="s">
        <v>104</v>
      </c>
      <c r="C26" s="34" t="s">
        <v>104</v>
      </c>
      <c r="D26" s="34" t="s">
        <v>104</v>
      </c>
      <c r="E26" s="34" t="s">
        <v>104</v>
      </c>
      <c r="F26" s="34" t="s">
        <v>104</v>
      </c>
      <c r="G26" s="33" t="s">
        <v>124</v>
      </c>
      <c r="H26" s="33" t="s">
        <v>124</v>
      </c>
      <c r="I26" s="4"/>
      <c r="J26" s="4"/>
      <c r="K26" s="4"/>
      <c r="L26" s="4"/>
      <c r="M26" s="4"/>
      <c r="N26" s="4"/>
      <c r="O26" s="4"/>
      <c r="P26" s="4"/>
      <c r="Q26" s="4"/>
      <c r="R26" s="4"/>
    </row>
    <row r="27" ht="21.75" customHeight="1">
      <c r="A27" s="20" t="s">
        <v>152</v>
      </c>
      <c r="B27" s="34" t="s">
        <v>104</v>
      </c>
      <c r="C27" s="34" t="s">
        <v>104</v>
      </c>
      <c r="D27" s="34" t="s">
        <v>104</v>
      </c>
      <c r="E27" s="34" t="s">
        <v>104</v>
      </c>
      <c r="F27" s="34" t="s">
        <v>104</v>
      </c>
      <c r="G27" s="33" t="s">
        <v>124</v>
      </c>
      <c r="H27" s="33" t="s">
        <v>124</v>
      </c>
      <c r="I27" s="4"/>
      <c r="J27" s="4"/>
      <c r="K27" s="4"/>
      <c r="L27" s="4"/>
      <c r="M27" s="4"/>
      <c r="N27" s="4"/>
      <c r="O27" s="4"/>
      <c r="P27" s="4"/>
      <c r="Q27" s="4"/>
      <c r="R27" s="4"/>
    </row>
    <row r="28" ht="21.75" customHeight="1">
      <c r="A28" s="20" t="s">
        <v>153</v>
      </c>
      <c r="B28" s="34" t="s">
        <v>104</v>
      </c>
      <c r="C28" s="34" t="s">
        <v>104</v>
      </c>
      <c r="D28" s="34" t="s">
        <v>104</v>
      </c>
      <c r="E28" s="34" t="s">
        <v>104</v>
      </c>
      <c r="F28" s="34" t="s">
        <v>104</v>
      </c>
      <c r="G28" s="33" t="s">
        <v>124</v>
      </c>
      <c r="H28" s="33" t="s">
        <v>124</v>
      </c>
      <c r="I28" s="4"/>
      <c r="J28" s="4"/>
      <c r="K28" s="4"/>
      <c r="L28" s="4"/>
      <c r="M28" s="4"/>
      <c r="N28" s="4"/>
      <c r="O28" s="4"/>
      <c r="P28" s="4"/>
      <c r="Q28" s="4"/>
      <c r="R28" s="4"/>
    </row>
    <row r="29" ht="21.75" customHeight="1">
      <c r="A29" s="20" t="s">
        <v>154</v>
      </c>
      <c r="B29" s="35" t="s">
        <v>129</v>
      </c>
      <c r="C29" s="35" t="s">
        <v>129</v>
      </c>
      <c r="D29" s="35" t="s">
        <v>129</v>
      </c>
      <c r="E29" s="35" t="s">
        <v>129</v>
      </c>
      <c r="F29" s="35" t="s">
        <v>129</v>
      </c>
      <c r="G29" s="35" t="s">
        <v>129</v>
      </c>
      <c r="H29" s="35" t="s">
        <v>129</v>
      </c>
      <c r="I29" s="4"/>
      <c r="J29" s="4"/>
      <c r="K29" s="4"/>
      <c r="L29" s="4"/>
      <c r="M29" s="4"/>
      <c r="N29" s="4"/>
      <c r="O29" s="4"/>
      <c r="P29" s="4"/>
      <c r="Q29" s="4"/>
      <c r="R29" s="4"/>
    </row>
    <row r="30" ht="21.75" customHeight="1">
      <c r="A30" s="20" t="s">
        <v>155</v>
      </c>
      <c r="B30" s="35" t="s">
        <v>129</v>
      </c>
      <c r="C30" s="35" t="s">
        <v>129</v>
      </c>
      <c r="D30" s="35" t="s">
        <v>129</v>
      </c>
      <c r="E30" s="35" t="s">
        <v>129</v>
      </c>
      <c r="F30" s="35" t="s">
        <v>129</v>
      </c>
      <c r="G30" s="35" t="s">
        <v>129</v>
      </c>
      <c r="H30" s="35" t="s">
        <v>129</v>
      </c>
      <c r="I30" s="4"/>
      <c r="J30" s="4"/>
      <c r="K30" s="4"/>
      <c r="L30" s="4"/>
      <c r="M30" s="4"/>
      <c r="N30" s="4"/>
      <c r="O30" s="4"/>
      <c r="P30" s="4"/>
      <c r="Q30" s="4"/>
      <c r="R30" s="4"/>
    </row>
    <row r="31" ht="21.75" customHeight="1">
      <c r="A31" s="20" t="s">
        <v>156</v>
      </c>
      <c r="B31" s="35" t="s">
        <v>129</v>
      </c>
      <c r="C31" s="35" t="s">
        <v>129</v>
      </c>
      <c r="D31" s="35" t="s">
        <v>129</v>
      </c>
      <c r="E31" s="35" t="s">
        <v>129</v>
      </c>
      <c r="F31" s="35" t="s">
        <v>129</v>
      </c>
      <c r="G31" s="35" t="s">
        <v>129</v>
      </c>
      <c r="H31" s="35" t="s">
        <v>129</v>
      </c>
      <c r="I31" s="4"/>
      <c r="J31" s="4"/>
      <c r="K31" s="4"/>
      <c r="L31" s="4"/>
      <c r="M31" s="4"/>
      <c r="N31" s="4"/>
      <c r="O31" s="4"/>
      <c r="P31" s="4"/>
      <c r="Q31" s="4"/>
      <c r="R31" s="4"/>
    </row>
    <row r="32" ht="21.75" customHeight="1">
      <c r="A32" s="20" t="s">
        <v>157</v>
      </c>
      <c r="B32" s="34" t="s">
        <v>104</v>
      </c>
      <c r="C32" s="34" t="s">
        <v>104</v>
      </c>
      <c r="D32" s="34" t="s">
        <v>104</v>
      </c>
      <c r="E32" s="34" t="s">
        <v>104</v>
      </c>
      <c r="F32" s="34" t="s">
        <v>104</v>
      </c>
      <c r="G32" s="33" t="s">
        <v>124</v>
      </c>
      <c r="H32" s="33" t="s">
        <v>124</v>
      </c>
      <c r="I32" s="4"/>
      <c r="J32" s="4"/>
      <c r="K32" s="4"/>
      <c r="L32" s="4"/>
      <c r="M32" s="4"/>
      <c r="N32" s="4"/>
      <c r="O32" s="4"/>
      <c r="P32" s="4"/>
      <c r="Q32" s="4"/>
      <c r="R32" s="4"/>
    </row>
    <row r="33" ht="21.75" customHeight="1">
      <c r="A33" s="20" t="s">
        <v>158</v>
      </c>
      <c r="B33" s="34" t="s">
        <v>104</v>
      </c>
      <c r="C33" s="34" t="s">
        <v>104</v>
      </c>
      <c r="D33" s="34" t="s">
        <v>104</v>
      </c>
      <c r="E33" s="34" t="s">
        <v>104</v>
      </c>
      <c r="F33" s="34" t="s">
        <v>104</v>
      </c>
      <c r="G33" s="33" t="s">
        <v>124</v>
      </c>
      <c r="H33" s="33" t="s">
        <v>124</v>
      </c>
      <c r="I33" s="4"/>
      <c r="J33" s="4"/>
      <c r="K33" s="4"/>
      <c r="L33" s="4"/>
      <c r="M33" s="4"/>
      <c r="N33" s="4"/>
      <c r="O33" s="4"/>
      <c r="P33" s="4"/>
      <c r="Q33" s="4"/>
      <c r="R33" s="4"/>
    </row>
    <row r="34" ht="21.75" customHeight="1">
      <c r="A34" s="20" t="s">
        <v>159</v>
      </c>
      <c r="B34" s="34" t="s">
        <v>104</v>
      </c>
      <c r="C34" s="34" t="s">
        <v>104</v>
      </c>
      <c r="D34" s="34" t="s">
        <v>104</v>
      </c>
      <c r="E34" s="34" t="s">
        <v>104</v>
      </c>
      <c r="F34" s="34" t="s">
        <v>104</v>
      </c>
      <c r="G34" s="33" t="s">
        <v>124</v>
      </c>
      <c r="H34" s="33" t="s">
        <v>124</v>
      </c>
      <c r="I34" s="4"/>
      <c r="J34" s="4"/>
      <c r="K34" s="4"/>
      <c r="L34" s="4"/>
      <c r="M34" s="4"/>
      <c r="N34" s="4"/>
      <c r="O34" s="4"/>
      <c r="P34" s="4"/>
      <c r="Q34" s="4"/>
      <c r="R34" s="4"/>
    </row>
    <row r="35" ht="21.75" customHeight="1">
      <c r="A35" s="20" t="s">
        <v>160</v>
      </c>
      <c r="B35" s="34" t="s">
        <v>104</v>
      </c>
      <c r="C35" s="34" t="s">
        <v>104</v>
      </c>
      <c r="D35" s="34" t="s">
        <v>104</v>
      </c>
      <c r="E35" s="34" t="s">
        <v>104</v>
      </c>
      <c r="F35" s="34" t="s">
        <v>104</v>
      </c>
      <c r="G35" s="33" t="s">
        <v>124</v>
      </c>
      <c r="H35" s="33" t="s">
        <v>124</v>
      </c>
      <c r="I35" s="4"/>
      <c r="J35" s="4"/>
      <c r="K35" s="4"/>
      <c r="L35" s="4"/>
      <c r="M35" s="4"/>
      <c r="N35" s="4"/>
      <c r="O35" s="4"/>
      <c r="P35" s="4"/>
      <c r="Q35" s="4"/>
      <c r="R35" s="4"/>
    </row>
    <row r="36" ht="21.75" customHeight="1">
      <c r="A36" s="20" t="s">
        <v>161</v>
      </c>
      <c r="B36" s="34" t="s">
        <v>104</v>
      </c>
      <c r="C36" s="34" t="s">
        <v>104</v>
      </c>
      <c r="D36" s="34" t="s">
        <v>104</v>
      </c>
      <c r="E36" s="34" t="s">
        <v>104</v>
      </c>
      <c r="F36" s="34" t="s">
        <v>104</v>
      </c>
      <c r="G36" s="33" t="s">
        <v>124</v>
      </c>
      <c r="H36" s="33" t="s">
        <v>124</v>
      </c>
      <c r="I36" s="4"/>
      <c r="J36" s="4"/>
      <c r="K36" s="4"/>
      <c r="L36" s="4"/>
      <c r="M36" s="4"/>
      <c r="N36" s="4"/>
      <c r="O36" s="4"/>
      <c r="P36" s="4"/>
      <c r="Q36" s="4"/>
      <c r="R36" s="4"/>
    </row>
    <row r="37" ht="21.75" customHeight="1">
      <c r="A37" s="20" t="s">
        <v>162</v>
      </c>
      <c r="B37" s="34" t="s">
        <v>104</v>
      </c>
      <c r="C37" s="34" t="s">
        <v>104</v>
      </c>
      <c r="D37" s="34" t="s">
        <v>104</v>
      </c>
      <c r="E37" s="34" t="s">
        <v>104</v>
      </c>
      <c r="F37" s="34" t="s">
        <v>104</v>
      </c>
      <c r="G37" s="33" t="s">
        <v>124</v>
      </c>
      <c r="H37" s="33" t="s">
        <v>124</v>
      </c>
      <c r="I37" s="4"/>
      <c r="J37" s="4"/>
      <c r="K37" s="4"/>
      <c r="L37" s="4"/>
      <c r="M37" s="4"/>
      <c r="N37" s="4"/>
      <c r="O37" s="4"/>
      <c r="P37" s="4"/>
      <c r="Q37" s="4"/>
      <c r="R37" s="4"/>
    </row>
    <row r="38" ht="21.75" customHeight="1">
      <c r="A38" s="20" t="s">
        <v>163</v>
      </c>
      <c r="B38" s="34" t="s">
        <v>104</v>
      </c>
      <c r="C38" s="34" t="s">
        <v>104</v>
      </c>
      <c r="D38" s="34" t="s">
        <v>104</v>
      </c>
      <c r="E38" s="34" t="s">
        <v>104</v>
      </c>
      <c r="F38" s="34" t="s">
        <v>104</v>
      </c>
      <c r="G38" s="33" t="s">
        <v>124</v>
      </c>
      <c r="H38" s="33" t="s">
        <v>124</v>
      </c>
      <c r="I38" s="4"/>
      <c r="J38" s="4"/>
      <c r="K38" s="4"/>
      <c r="L38" s="4"/>
      <c r="M38" s="4"/>
      <c r="N38" s="4"/>
      <c r="O38" s="4"/>
      <c r="P38" s="4"/>
      <c r="Q38" s="4"/>
      <c r="R38" s="4"/>
    </row>
    <row r="39" ht="21.75" customHeight="1">
      <c r="A39" s="20" t="s">
        <v>164</v>
      </c>
      <c r="B39" s="34" t="s">
        <v>104</v>
      </c>
      <c r="C39" s="34" t="s">
        <v>104</v>
      </c>
      <c r="D39" s="34" t="s">
        <v>104</v>
      </c>
      <c r="E39" s="34" t="s">
        <v>104</v>
      </c>
      <c r="F39" s="34" t="s">
        <v>104</v>
      </c>
      <c r="G39" s="33" t="s">
        <v>124</v>
      </c>
      <c r="H39" s="33" t="s">
        <v>124</v>
      </c>
      <c r="I39" s="4"/>
      <c r="J39" s="4"/>
      <c r="K39" s="4"/>
      <c r="L39" s="4"/>
      <c r="M39" s="4"/>
      <c r="N39" s="4"/>
      <c r="O39" s="4"/>
      <c r="P39" s="4"/>
      <c r="Q39" s="4"/>
      <c r="R39" s="4"/>
    </row>
    <row r="40" ht="21.75" customHeight="1">
      <c r="A40" s="20" t="s">
        <v>165</v>
      </c>
      <c r="B40" s="34" t="s">
        <v>104</v>
      </c>
      <c r="C40" s="34" t="s">
        <v>104</v>
      </c>
      <c r="D40" s="34" t="s">
        <v>104</v>
      </c>
      <c r="E40" s="34" t="s">
        <v>104</v>
      </c>
      <c r="F40" s="34" t="s">
        <v>104</v>
      </c>
      <c r="G40" s="33" t="s">
        <v>124</v>
      </c>
      <c r="H40" s="33" t="s">
        <v>124</v>
      </c>
      <c r="I40" s="4"/>
      <c r="J40" s="4"/>
      <c r="K40" s="4"/>
      <c r="L40" s="4"/>
      <c r="M40" s="4"/>
      <c r="N40" s="4"/>
      <c r="O40" s="4"/>
      <c r="P40" s="4"/>
      <c r="Q40" s="4"/>
      <c r="R40" s="4"/>
    </row>
    <row r="41" ht="21.75" customHeight="1">
      <c r="A41" s="20" t="s">
        <v>166</v>
      </c>
      <c r="B41" s="34" t="s">
        <v>104</v>
      </c>
      <c r="C41" s="34" t="s">
        <v>104</v>
      </c>
      <c r="D41" s="34" t="s">
        <v>104</v>
      </c>
      <c r="E41" s="34" t="s">
        <v>104</v>
      </c>
      <c r="F41" s="34" t="s">
        <v>104</v>
      </c>
      <c r="G41" s="33" t="s">
        <v>124</v>
      </c>
      <c r="H41" s="33" t="s">
        <v>124</v>
      </c>
      <c r="I41" s="4"/>
      <c r="J41" s="4"/>
      <c r="K41" s="4"/>
      <c r="L41" s="4"/>
      <c r="M41" s="4"/>
      <c r="N41" s="4"/>
      <c r="O41" s="4"/>
      <c r="P41" s="4"/>
      <c r="Q41" s="4"/>
      <c r="R41" s="4"/>
    </row>
    <row r="42" ht="21.75" customHeight="1">
      <c r="A42" s="20" t="s">
        <v>167</v>
      </c>
      <c r="B42" s="34" t="s">
        <v>104</v>
      </c>
      <c r="C42" s="34" t="s">
        <v>104</v>
      </c>
      <c r="D42" s="34" t="s">
        <v>104</v>
      </c>
      <c r="E42" s="34" t="s">
        <v>104</v>
      </c>
      <c r="F42" s="34" t="s">
        <v>104</v>
      </c>
      <c r="G42" s="33" t="s">
        <v>124</v>
      </c>
      <c r="H42" s="33" t="s">
        <v>124</v>
      </c>
      <c r="I42" s="4"/>
      <c r="J42" s="4"/>
      <c r="K42" s="4"/>
      <c r="L42" s="4"/>
      <c r="M42" s="4"/>
      <c r="N42" s="4"/>
      <c r="O42" s="4"/>
      <c r="P42" s="4"/>
      <c r="Q42" s="4"/>
      <c r="R42" s="4"/>
    </row>
    <row r="43" ht="21.75" customHeight="1">
      <c r="A43" s="20" t="s">
        <v>168</v>
      </c>
      <c r="B43" s="31" t="s">
        <v>114</v>
      </c>
      <c r="C43" s="31" t="s">
        <v>114</v>
      </c>
      <c r="D43" s="31" t="s">
        <v>114</v>
      </c>
      <c r="E43" s="31" t="s">
        <v>114</v>
      </c>
      <c r="F43" s="31" t="s">
        <v>114</v>
      </c>
      <c r="G43" s="31" t="s">
        <v>114</v>
      </c>
      <c r="H43" s="31" t="s">
        <v>114</v>
      </c>
      <c r="I43" s="4"/>
      <c r="J43" s="4"/>
      <c r="K43" s="4"/>
      <c r="L43" s="4"/>
      <c r="M43" s="4"/>
      <c r="N43" s="4"/>
      <c r="O43" s="4"/>
      <c r="P43" s="4"/>
      <c r="Q43" s="4"/>
      <c r="R43" s="4"/>
    </row>
    <row r="44" ht="21.75" customHeight="1">
      <c r="A44" s="20" t="s">
        <v>169</v>
      </c>
      <c r="B44" s="31" t="s">
        <v>114</v>
      </c>
      <c r="C44" s="31" t="s">
        <v>114</v>
      </c>
      <c r="D44" s="31" t="s">
        <v>114</v>
      </c>
      <c r="E44" s="31" t="s">
        <v>114</v>
      </c>
      <c r="F44" s="31" t="s">
        <v>114</v>
      </c>
      <c r="G44" s="31" t="s">
        <v>114</v>
      </c>
      <c r="H44" s="31" t="s">
        <v>114</v>
      </c>
      <c r="I44" s="4"/>
      <c r="J44" s="4"/>
      <c r="K44" s="4"/>
      <c r="L44" s="4"/>
      <c r="M44" s="4"/>
      <c r="N44" s="4"/>
      <c r="O44" s="4"/>
      <c r="P44" s="4"/>
      <c r="Q44" s="4"/>
      <c r="R44" s="4"/>
    </row>
    <row r="45" ht="21.75" customHeight="1">
      <c r="A45" s="20" t="s">
        <v>170</v>
      </c>
      <c r="B45" s="31" t="s">
        <v>114</v>
      </c>
      <c r="C45" s="31" t="s">
        <v>114</v>
      </c>
      <c r="D45" s="31" t="s">
        <v>114</v>
      </c>
      <c r="E45" s="31" t="s">
        <v>114</v>
      </c>
      <c r="F45" s="31" t="s">
        <v>114</v>
      </c>
      <c r="G45" s="31" t="s">
        <v>114</v>
      </c>
      <c r="H45" s="31" t="s">
        <v>114</v>
      </c>
      <c r="I45" s="4"/>
      <c r="J45" s="4"/>
      <c r="K45" s="4"/>
      <c r="L45" s="4"/>
      <c r="M45" s="4"/>
      <c r="N45" s="4"/>
      <c r="O45" s="4"/>
      <c r="P45" s="4"/>
      <c r="Q45" s="4"/>
      <c r="R45" s="4"/>
    </row>
    <row r="46" ht="21.75" customHeight="1">
      <c r="A46" s="20" t="s">
        <v>171</v>
      </c>
      <c r="B46" s="33" t="s">
        <v>124</v>
      </c>
      <c r="C46" s="33" t="s">
        <v>124</v>
      </c>
      <c r="D46" s="33" t="s">
        <v>124</v>
      </c>
      <c r="E46" s="33" t="s">
        <v>124</v>
      </c>
      <c r="F46" s="33" t="s">
        <v>124</v>
      </c>
      <c r="G46" s="33" t="s">
        <v>124</v>
      </c>
      <c r="H46" s="33" t="s">
        <v>124</v>
      </c>
      <c r="I46" s="4"/>
      <c r="J46" s="4"/>
      <c r="K46" s="4"/>
      <c r="L46" s="4"/>
      <c r="M46" s="4"/>
      <c r="N46" s="4"/>
      <c r="O46" s="4"/>
      <c r="P46" s="4"/>
      <c r="Q46" s="4"/>
      <c r="R46" s="4"/>
    </row>
    <row r="47" ht="21.75" customHeight="1">
      <c r="A47" s="20" t="s">
        <v>172</v>
      </c>
      <c r="B47" s="33" t="s">
        <v>124</v>
      </c>
      <c r="C47" s="33" t="s">
        <v>124</v>
      </c>
      <c r="D47" s="33" t="s">
        <v>124</v>
      </c>
      <c r="E47" s="33" t="s">
        <v>124</v>
      </c>
      <c r="F47" s="33" t="s">
        <v>124</v>
      </c>
      <c r="G47" s="33" t="s">
        <v>124</v>
      </c>
      <c r="H47" s="33" t="s">
        <v>124</v>
      </c>
      <c r="I47" s="4"/>
      <c r="J47" s="4"/>
      <c r="K47" s="4"/>
      <c r="L47" s="4"/>
      <c r="M47" s="4"/>
      <c r="N47" s="4"/>
      <c r="O47" s="4"/>
      <c r="P47" s="4"/>
      <c r="Q47" s="4"/>
      <c r="R47" s="4"/>
    </row>
    <row r="48" ht="21.75" customHeight="1">
      <c r="A48" s="20" t="s">
        <v>173</v>
      </c>
      <c r="B48" s="33" t="s">
        <v>124</v>
      </c>
      <c r="C48" s="33" t="s">
        <v>124</v>
      </c>
      <c r="D48" s="33" t="s">
        <v>124</v>
      </c>
      <c r="E48" s="33" t="s">
        <v>124</v>
      </c>
      <c r="F48" s="33" t="s">
        <v>124</v>
      </c>
      <c r="G48" s="33" t="s">
        <v>124</v>
      </c>
      <c r="H48" s="33" t="s">
        <v>124</v>
      </c>
      <c r="I48" s="4"/>
      <c r="J48" s="4"/>
      <c r="K48" s="4"/>
      <c r="L48" s="4"/>
      <c r="M48" s="4"/>
      <c r="N48" s="4"/>
      <c r="O48" s="4"/>
      <c r="P48" s="4"/>
      <c r="Q48" s="4"/>
      <c r="R48" s="4"/>
    </row>
    <row r="49" ht="21.75" customHeight="1">
      <c r="A49" s="20" t="s">
        <v>174</v>
      </c>
      <c r="B49" s="21" t="s">
        <v>99</v>
      </c>
      <c r="C49" s="21" t="s">
        <v>99</v>
      </c>
      <c r="D49" s="21" t="s">
        <v>99</v>
      </c>
      <c r="E49" s="21" t="s">
        <v>99</v>
      </c>
      <c r="F49" s="21" t="s">
        <v>99</v>
      </c>
      <c r="G49" s="21" t="s">
        <v>99</v>
      </c>
      <c r="H49" s="21" t="s">
        <v>99</v>
      </c>
      <c r="I49" s="4"/>
      <c r="J49" s="4"/>
      <c r="K49" s="4"/>
      <c r="L49" s="4"/>
      <c r="M49" s="4"/>
      <c r="N49" s="4"/>
      <c r="O49" s="4"/>
      <c r="P49" s="4"/>
      <c r="Q49" s="4"/>
      <c r="R49" s="4"/>
    </row>
    <row r="50" ht="21.75" customHeight="1">
      <c r="A50" s="20" t="s">
        <v>175</v>
      </c>
      <c r="B50" s="21" t="s">
        <v>99</v>
      </c>
      <c r="C50" s="21" t="s">
        <v>99</v>
      </c>
      <c r="D50" s="21" t="s">
        <v>99</v>
      </c>
      <c r="E50" s="21" t="s">
        <v>99</v>
      </c>
      <c r="F50" s="21" t="s">
        <v>99</v>
      </c>
      <c r="G50" s="21" t="s">
        <v>99</v>
      </c>
      <c r="H50" s="21" t="s">
        <v>99</v>
      </c>
      <c r="I50" s="4"/>
      <c r="J50" s="4"/>
      <c r="K50" s="4"/>
      <c r="L50" s="4"/>
      <c r="M50" s="4"/>
      <c r="N50" s="4"/>
      <c r="O50" s="4"/>
      <c r="P50" s="4"/>
      <c r="Q50" s="4"/>
      <c r="R50" s="4"/>
    </row>
    <row r="51" ht="21.75" customHeight="1">
      <c r="A51" s="20" t="s">
        <v>176</v>
      </c>
      <c r="B51" s="21" t="s">
        <v>99</v>
      </c>
      <c r="C51" s="21" t="s">
        <v>99</v>
      </c>
      <c r="D51" s="21" t="s">
        <v>99</v>
      </c>
      <c r="E51" s="21" t="s">
        <v>99</v>
      </c>
      <c r="F51" s="21" t="s">
        <v>99</v>
      </c>
      <c r="G51" s="21" t="s">
        <v>99</v>
      </c>
      <c r="H51" s="21" t="s">
        <v>99</v>
      </c>
      <c r="I51" s="4"/>
      <c r="J51" s="4"/>
      <c r="K51" s="4"/>
      <c r="L51" s="4"/>
      <c r="M51" s="4"/>
      <c r="N51" s="4"/>
      <c r="O51" s="4"/>
      <c r="P51" s="4"/>
      <c r="Q51" s="4"/>
      <c r="R51" s="4"/>
    </row>
    <row r="52" ht="21.75" customHeight="1">
      <c r="A52" s="20" t="s">
        <v>177</v>
      </c>
      <c r="B52" s="21" t="s">
        <v>99</v>
      </c>
      <c r="C52" s="21" t="s">
        <v>99</v>
      </c>
      <c r="D52" s="21" t="s">
        <v>99</v>
      </c>
      <c r="E52" s="21" t="s">
        <v>99</v>
      </c>
      <c r="F52" s="21" t="s">
        <v>99</v>
      </c>
      <c r="G52" s="21" t="s">
        <v>99</v>
      </c>
      <c r="H52" s="21" t="s">
        <v>99</v>
      </c>
      <c r="I52" s="4"/>
      <c r="J52" s="4"/>
      <c r="K52" s="4"/>
      <c r="L52" s="4"/>
      <c r="M52" s="4"/>
      <c r="N52" s="4"/>
      <c r="O52" s="4"/>
      <c r="P52" s="4"/>
      <c r="Q52" s="4"/>
      <c r="R52" s="4"/>
    </row>
    <row r="53" ht="15.7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</row>
    <row r="79" ht="15.75" customHeight="1">
      <c r="A79" s="3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</row>
    <row r="80" ht="15.75" customHeight="1">
      <c r="A80" s="3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</row>
    <row r="81" ht="15.75" customHeight="1">
      <c r="A81" s="3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</row>
    <row r="82" ht="15.75" customHeight="1">
      <c r="A82" s="3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</row>
    <row r="83" ht="15.75" customHeight="1">
      <c r="A83" s="3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</row>
    <row r="84" ht="15.75" customHeight="1">
      <c r="A84" s="3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</row>
    <row r="85" ht="15.75" customHeight="1">
      <c r="A85" s="3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</row>
    <row r="86" ht="15.75" customHeight="1">
      <c r="A86" s="3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</row>
    <row r="87" ht="15.75" customHeight="1">
      <c r="A87" s="3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</row>
    <row r="88" ht="15.75" customHeight="1">
      <c r="A88" s="3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</row>
    <row r="89" ht="15.75" customHeight="1">
      <c r="A89" s="3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</row>
    <row r="90" ht="15.75" customHeight="1">
      <c r="A90" s="3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</row>
    <row r="91" ht="15.75" customHeight="1">
      <c r="A91" s="3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</row>
    <row r="92" ht="15.75" customHeight="1">
      <c r="A92" s="3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</row>
    <row r="93" ht="15.75" customHeight="1">
      <c r="A93" s="3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</row>
    <row r="94" ht="15.75" customHeight="1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</row>
    <row r="95" ht="15.75" customHeight="1">
      <c r="A95" s="3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</row>
    <row r="96" ht="15.75" customHeight="1">
      <c r="A96" s="3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</row>
    <row r="97" ht="15.75" customHeight="1">
      <c r="A97" s="3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</row>
    <row r="98" ht="15.75" customHeight="1">
      <c r="A98" s="3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</row>
    <row r="99" ht="15.75" customHeight="1">
      <c r="A99" s="3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</row>
    <row r="100" ht="15.75" customHeight="1">
      <c r="A100" s="3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</row>
    <row r="101" ht="15.75" customHeight="1">
      <c r="A101" s="3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</row>
    <row r="102" ht="15.75" customHeight="1">
      <c r="A102" s="3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</row>
    <row r="103" ht="15.75" customHeight="1">
      <c r="A103" s="3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</row>
    <row r="104" ht="15.75" customHeight="1">
      <c r="A104" s="3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</row>
    <row r="105" ht="15.75" customHeight="1">
      <c r="A105" s="3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</row>
    <row r="106" ht="15.75" customHeight="1">
      <c r="A106" s="3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</row>
    <row r="107" ht="15.75" customHeight="1">
      <c r="A107" s="3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</row>
    <row r="108" ht="15.75" customHeight="1">
      <c r="A108" s="3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</row>
    <row r="109" ht="15.75" customHeight="1">
      <c r="A109" s="3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</row>
    <row r="110" ht="15.75" customHeight="1">
      <c r="A110" s="3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</row>
    <row r="111" ht="15.75" customHeight="1">
      <c r="A111" s="3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</row>
    <row r="112" ht="15.75" customHeight="1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</row>
    <row r="113" ht="15.75" customHeight="1">
      <c r="A113" s="3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</row>
    <row r="114" ht="15.75" customHeight="1">
      <c r="A114" s="3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</row>
    <row r="115" ht="15.75" customHeight="1">
      <c r="A115" s="3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</row>
    <row r="116" ht="15.75" customHeight="1">
      <c r="A116" s="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</row>
    <row r="117" ht="15.75" customHeight="1">
      <c r="A117" s="3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</row>
    <row r="118" ht="15.75" customHeight="1">
      <c r="A118" s="3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</row>
    <row r="119" ht="15.75" customHeight="1">
      <c r="A119" s="3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</row>
    <row r="120" ht="15.75" customHeight="1">
      <c r="A120" s="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</row>
    <row r="121" ht="15.75" customHeight="1">
      <c r="A121" s="3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</row>
    <row r="122" ht="15.75" customHeight="1">
      <c r="A122" s="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</row>
    <row r="123" ht="15.75" customHeight="1">
      <c r="A123" s="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</row>
    <row r="124" ht="15.75" customHeight="1">
      <c r="A124" s="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</row>
    <row r="125" ht="15.75" customHeight="1">
      <c r="A125" s="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</row>
    <row r="126" ht="15.75" customHeight="1">
      <c r="A126" s="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</row>
    <row r="127" ht="15.75" customHeight="1">
      <c r="A127" s="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</row>
    <row r="128" ht="15.75" customHeight="1">
      <c r="A128" s="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</row>
    <row r="129" ht="15.75" customHeight="1">
      <c r="A129" s="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</row>
    <row r="130" ht="15.75" customHeight="1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</row>
    <row r="131" ht="15.75" customHeight="1">
      <c r="A131" s="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</row>
    <row r="132" ht="15.75" customHeight="1">
      <c r="A132" s="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</row>
    <row r="133" ht="15.75" customHeight="1">
      <c r="A133" s="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</row>
    <row r="134" ht="15.75" customHeight="1">
      <c r="A134" s="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</row>
    <row r="135" ht="15.75" customHeight="1">
      <c r="A135" s="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</row>
    <row r="136" ht="15.75" customHeight="1">
      <c r="A136" s="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</row>
    <row r="137" ht="15.75" customHeight="1">
      <c r="A137" s="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</row>
    <row r="138" ht="15.75" customHeight="1">
      <c r="A138" s="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</row>
    <row r="139" ht="15.75" customHeight="1">
      <c r="A139" s="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</row>
    <row r="140" ht="15.75" customHeight="1">
      <c r="A140" s="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</row>
    <row r="141" ht="15.75" customHeight="1">
      <c r="A141" s="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</row>
    <row r="142" ht="15.75" customHeight="1">
      <c r="A142" s="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</row>
    <row r="143" ht="15.75" customHeight="1">
      <c r="A143" s="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</row>
    <row r="144" ht="15.75" customHeight="1">
      <c r="A144" s="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</row>
    <row r="145" ht="15.75" customHeight="1">
      <c r="A145" s="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</row>
    <row r="146" ht="15.75" customHeight="1">
      <c r="A146" s="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</row>
    <row r="147" ht="15.75" customHeight="1">
      <c r="A147" s="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</row>
    <row r="148" ht="15.75" customHeight="1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</row>
    <row r="149" ht="15.75" customHeight="1">
      <c r="A149" s="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</row>
    <row r="150" ht="15.75" customHeight="1">
      <c r="A150" s="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</row>
    <row r="151" ht="15.75" customHeight="1">
      <c r="A151" s="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</row>
    <row r="152" ht="15.75" customHeight="1">
      <c r="A152" s="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</row>
    <row r="153" ht="15.75" customHeight="1">
      <c r="A153" s="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</row>
    <row r="154" ht="15.75" customHeight="1">
      <c r="A154" s="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</row>
    <row r="155" ht="15.75" customHeight="1">
      <c r="A155" s="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</row>
    <row r="156" ht="15.75" customHeight="1">
      <c r="A156" s="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</row>
    <row r="157" ht="15.75" customHeight="1">
      <c r="A157" s="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</row>
    <row r="158" ht="15.75" customHeight="1">
      <c r="A158" s="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</row>
    <row r="159" ht="15.75" customHeight="1">
      <c r="A159" s="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</row>
    <row r="160" ht="15.75" customHeight="1">
      <c r="A160" s="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</row>
    <row r="161" ht="15.75" customHeight="1">
      <c r="A161" s="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</row>
    <row r="162" ht="15.75" customHeight="1">
      <c r="A162" s="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</row>
    <row r="163" ht="15.75" customHeight="1">
      <c r="A163" s="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</row>
    <row r="164" ht="15.75" customHeight="1">
      <c r="A164" s="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</row>
    <row r="165" ht="15.75" customHeight="1">
      <c r="A165" s="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</row>
    <row r="166" ht="15.75" customHeight="1">
      <c r="A166" s="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</row>
    <row r="167" ht="15.75" customHeight="1">
      <c r="A167" s="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</row>
    <row r="168" ht="15.75" customHeight="1">
      <c r="A168" s="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</row>
    <row r="169" ht="15.75" customHeight="1">
      <c r="A169" s="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</row>
    <row r="170" ht="15.75" customHeight="1">
      <c r="A170" s="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</row>
    <row r="171" ht="15.75" customHeight="1">
      <c r="A171" s="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</row>
    <row r="172" ht="15.75" customHeight="1">
      <c r="A172" s="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</row>
    <row r="173" ht="15.75" customHeight="1">
      <c r="A173" s="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</row>
    <row r="174" ht="15.75" customHeight="1">
      <c r="A174" s="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</row>
    <row r="175" ht="15.75" customHeight="1">
      <c r="A175" s="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</row>
    <row r="176" ht="15.75" customHeight="1">
      <c r="A176" s="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</row>
    <row r="177" ht="15.75" customHeight="1">
      <c r="A177" s="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</row>
    <row r="178" ht="15.75" customHeight="1">
      <c r="A178" s="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</row>
    <row r="179" ht="15.75" customHeight="1">
      <c r="A179" s="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</row>
    <row r="180" ht="15.75" customHeight="1">
      <c r="A180" s="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</row>
    <row r="181" ht="15.75" customHeight="1">
      <c r="A181" s="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</row>
    <row r="182" ht="15.75" customHeight="1">
      <c r="A182" s="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</row>
    <row r="183" ht="15.75" customHeight="1">
      <c r="A183" s="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</row>
    <row r="184" ht="15.75" customHeight="1">
      <c r="A184" s="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</row>
    <row r="185" ht="15.75" customHeight="1">
      <c r="A185" s="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</row>
    <row r="186" ht="15.75" customHeight="1">
      <c r="A186" s="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</row>
    <row r="187" ht="15.75" customHeight="1">
      <c r="A187" s="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</row>
    <row r="188" ht="15.75" customHeight="1">
      <c r="A188" s="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I1"/>
    <mergeCell ref="A3:I3"/>
    <mergeCell ref="J3:M3"/>
    <mergeCell ref="O3:R3"/>
  </mergeCells>
  <conditionalFormatting sqref="B5:H52">
    <cfRule type="expression" dxfId="0" priority="1" stopIfTrue="1">
      <formula>B5="睡眠"</formula>
    </cfRule>
  </conditionalFormatting>
  <conditionalFormatting sqref="B5:H52">
    <cfRule type="expression" dxfId="1" priority="2" stopIfTrue="1">
      <formula>B5="仕事"</formula>
    </cfRule>
  </conditionalFormatting>
  <conditionalFormatting sqref="B5:H52">
    <cfRule type="expression" dxfId="2" priority="3" stopIfTrue="1">
      <formula>B5="学習"</formula>
    </cfRule>
  </conditionalFormatting>
  <conditionalFormatting sqref="B5:H52">
    <cfRule type="expression" dxfId="3" priority="4" stopIfTrue="1">
      <formula>B5="家事"</formula>
    </cfRule>
  </conditionalFormatting>
  <conditionalFormatting sqref="B5:H52">
    <cfRule type="expression" dxfId="4" priority="5" stopIfTrue="1">
      <formula>B5="移動"</formula>
    </cfRule>
  </conditionalFormatting>
  <conditionalFormatting sqref="B5:H52">
    <cfRule type="expression" dxfId="5" priority="6" stopIfTrue="1">
      <formula>B5="趣味"</formula>
    </cfRule>
  </conditionalFormatting>
  <conditionalFormatting sqref="B5:H52">
    <cfRule type="expression" dxfId="6" priority="7" stopIfTrue="1">
      <formula>B5="休憩"</formula>
    </cfRule>
  </conditionalFormatting>
  <dataValidations>
    <dataValidation type="list" allowBlank="1" sqref="B5:H52">
      <formula1>"睡眠,仕事,学習,家事,移動,趣味,休憩"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17.5"/>
    <col customWidth="1" min="3" max="3" width="21.5"/>
    <col customWidth="1" min="4" max="4" width="10.0"/>
    <col customWidth="1" min="5" max="5" width="17.38"/>
    <col customWidth="1" min="6" max="6" width="48.0"/>
    <col customWidth="1" min="7" max="7" width="42.0"/>
    <col customWidth="1" min="8" max="8" width="10.0"/>
  </cols>
  <sheetData>
    <row r="1" ht="30.0" customHeight="1">
      <c r="A1" s="1" t="s">
        <v>178</v>
      </c>
    </row>
    <row r="2" ht="42.0" customHeight="1">
      <c r="A2" s="2" t="s">
        <v>179</v>
      </c>
    </row>
    <row r="3">
      <c r="A3" s="3"/>
      <c r="B3" s="4"/>
      <c r="C3" s="4"/>
      <c r="D3" s="4"/>
      <c r="E3" s="4"/>
      <c r="F3" s="4"/>
      <c r="G3" s="4"/>
      <c r="H3" s="4"/>
    </row>
    <row r="4">
      <c r="A4" s="5" t="s">
        <v>180</v>
      </c>
    </row>
    <row r="5">
      <c r="A5" s="7" t="s">
        <v>181</v>
      </c>
      <c r="B5" s="8" t="s">
        <v>182</v>
      </c>
      <c r="C5" s="8" t="s">
        <v>183</v>
      </c>
      <c r="D5" s="8" t="s">
        <v>184</v>
      </c>
      <c r="E5" s="8" t="s">
        <v>185</v>
      </c>
      <c r="F5" s="8" t="s">
        <v>186</v>
      </c>
      <c r="G5" s="8" t="s">
        <v>187</v>
      </c>
      <c r="H5" s="8" t="s">
        <v>188</v>
      </c>
    </row>
    <row r="6">
      <c r="A6" s="37">
        <f>SUM(H12:H742)</f>
        <v>1</v>
      </c>
      <c r="B6" s="38">
        <f>SUM(E12:E742)</f>
        <v>44</v>
      </c>
      <c r="C6" s="38">
        <f>B6/60</f>
        <v>0.7333333333</v>
      </c>
      <c r="D6" s="38">
        <f>SUMIFS(H12:H742,A12:A742,"&gt;="&amp;TODAY()-WEEKDAY(TODAY(),2)+1,A12:A742,"&lt;="&amp;TODAY())</f>
        <v>0</v>
      </c>
      <c r="E6" s="38">
        <f>SUMIFS(E12:E742,A12:A742,"&gt;="&amp;TODAY()-WEEKDAY(TODAY(),2)+1,A12:A742,"&lt;="&amp;TODAY())</f>
        <v>0</v>
      </c>
      <c r="F6" s="38">
        <f>SUMIFS(H12:H742,A12:A742,"&gt;="&amp;TODAY()-6,A12:A742,"&lt;="&amp;TODAY())</f>
        <v>0</v>
      </c>
      <c r="G6" s="38">
        <f>SUMIFS(H12:H742,A12:A742,"&gt;="&amp;EOMONTH(TODAY(),-1)+1,A12:A742,"&lt;="&amp;TODAY())</f>
        <v>0</v>
      </c>
      <c r="H6" s="39">
        <f>IF(COUNT(A12:A742)=0,0,A6/COUNT(A12:A742))</f>
        <v>0.001367989056</v>
      </c>
    </row>
    <row r="7">
      <c r="A7" s="3"/>
      <c r="B7" s="4"/>
      <c r="C7" s="4"/>
      <c r="D7" s="4"/>
      <c r="E7" s="4"/>
      <c r="F7" s="4"/>
      <c r="G7" s="4"/>
      <c r="H7" s="4"/>
    </row>
    <row r="8">
      <c r="A8" s="3"/>
      <c r="B8" s="4"/>
      <c r="C8" s="4"/>
      <c r="D8" s="4"/>
      <c r="E8" s="6" t="s">
        <v>189</v>
      </c>
      <c r="H8" s="4"/>
    </row>
    <row r="9" ht="30.0" customHeight="1">
      <c r="A9" s="3"/>
      <c r="B9" s="4"/>
      <c r="C9" s="4"/>
      <c r="D9" s="4"/>
      <c r="E9" s="11">
        <v>30.0</v>
      </c>
      <c r="F9" s="11" t="s">
        <v>190</v>
      </c>
      <c r="G9" s="11" t="s">
        <v>191</v>
      </c>
      <c r="H9" s="4"/>
    </row>
    <row r="10" ht="30.0" customHeight="1">
      <c r="A10" s="3"/>
      <c r="B10" s="4"/>
      <c r="C10" s="4"/>
      <c r="D10" s="4"/>
      <c r="E10" s="11">
        <v>0.0</v>
      </c>
      <c r="F10" s="11" t="s">
        <v>192</v>
      </c>
      <c r="G10" s="11" t="s">
        <v>193</v>
      </c>
      <c r="H10" s="4"/>
    </row>
    <row r="11" ht="24.0" customHeight="1">
      <c r="A11" s="8" t="s">
        <v>194</v>
      </c>
      <c r="B11" s="8" t="s">
        <v>195</v>
      </c>
      <c r="C11" s="8" t="s">
        <v>196</v>
      </c>
      <c r="D11" s="8" t="s">
        <v>197</v>
      </c>
      <c r="E11" s="8" t="s">
        <v>198</v>
      </c>
      <c r="F11" s="8" t="s">
        <v>199</v>
      </c>
      <c r="G11" s="8" t="s">
        <v>200</v>
      </c>
      <c r="H11" s="8" t="s">
        <v>201</v>
      </c>
    </row>
    <row r="12" ht="21.75" customHeight="1">
      <c r="A12" s="40">
        <v>46204.0</v>
      </c>
      <c r="B12" s="41" t="str">
        <f t="shared" ref="B12:B742" si="1">CHOOSE(WEEKDAY(A12,2),"月","火","水","木","金","土","日")</f>
        <v>水</v>
      </c>
      <c r="C12" s="41">
        <f>ROUNDUP((A12-'01_習慣設計'!$B$6+1)/7,0)</f>
        <v>1</v>
      </c>
      <c r="D12" s="41">
        <f>(YEAR(A12)-YEAR('01_習慣設計'!$B$6))*12+MONTH(A12)-MONTH('01_習慣設計'!$B$6)+1</f>
        <v>1</v>
      </c>
      <c r="E12" s="12">
        <v>44.0</v>
      </c>
      <c r="F12" s="3"/>
      <c r="G12" s="3"/>
      <c r="H12" s="41">
        <f t="shared" ref="H12:H742" si="2">IF(OR(E12&gt;0,LEN(F12)&gt;0,LEN(G12)&gt;0),1,0)</f>
        <v>1</v>
      </c>
    </row>
    <row r="13" ht="21.75" customHeight="1">
      <c r="A13" s="40">
        <v>46205.0</v>
      </c>
      <c r="B13" s="41" t="str">
        <f t="shared" si="1"/>
        <v>木</v>
      </c>
      <c r="C13" s="41">
        <f>ROUNDUP((A13-'01_習慣設計'!$B$6+1)/7,0)</f>
        <v>1</v>
      </c>
      <c r="D13" s="41">
        <f>(YEAR(A13)-YEAR('01_習慣設計'!$B$6))*12+MONTH(A13)-MONTH('01_習慣設計'!$B$6)+1</f>
        <v>1</v>
      </c>
      <c r="E13" s="12"/>
      <c r="F13" s="3"/>
      <c r="G13" s="3"/>
      <c r="H13" s="41">
        <f t="shared" si="2"/>
        <v>0</v>
      </c>
    </row>
    <row r="14" ht="21.75" customHeight="1">
      <c r="A14" s="40">
        <v>46206.0</v>
      </c>
      <c r="B14" s="41" t="str">
        <f t="shared" si="1"/>
        <v>金</v>
      </c>
      <c r="C14" s="41">
        <f>ROUNDUP((A14-'01_習慣設計'!$B$6+1)/7,0)</f>
        <v>1</v>
      </c>
      <c r="D14" s="41">
        <f>(YEAR(A14)-YEAR('01_習慣設計'!$B$6))*12+MONTH(A14)-MONTH('01_習慣設計'!$B$6)+1</f>
        <v>1</v>
      </c>
      <c r="E14" s="12"/>
      <c r="F14" s="3"/>
      <c r="G14" s="3"/>
      <c r="H14" s="41">
        <f t="shared" si="2"/>
        <v>0</v>
      </c>
    </row>
    <row r="15" ht="21.75" customHeight="1">
      <c r="A15" s="40">
        <v>46207.0</v>
      </c>
      <c r="B15" s="41" t="str">
        <f t="shared" si="1"/>
        <v>土</v>
      </c>
      <c r="C15" s="41">
        <f>ROUNDUP((A15-'01_習慣設計'!$B$6+1)/7,0)</f>
        <v>1</v>
      </c>
      <c r="D15" s="41">
        <f>(YEAR(A15)-YEAR('01_習慣設計'!$B$6))*12+MONTH(A15)-MONTH('01_習慣設計'!$B$6)+1</f>
        <v>1</v>
      </c>
      <c r="E15" s="12"/>
      <c r="F15" s="3"/>
      <c r="G15" s="3"/>
      <c r="H15" s="41">
        <f t="shared" si="2"/>
        <v>0</v>
      </c>
    </row>
    <row r="16" ht="21.75" customHeight="1">
      <c r="A16" s="40">
        <v>46208.0</v>
      </c>
      <c r="B16" s="41" t="str">
        <f t="shared" si="1"/>
        <v>日</v>
      </c>
      <c r="C16" s="41">
        <f>ROUNDUP((A16-'01_習慣設計'!$B$6+1)/7,0)</f>
        <v>1</v>
      </c>
      <c r="D16" s="41">
        <f>(YEAR(A16)-YEAR('01_習慣設計'!$B$6))*12+MONTH(A16)-MONTH('01_習慣設計'!$B$6)+1</f>
        <v>1</v>
      </c>
      <c r="E16" s="12"/>
      <c r="F16" s="3"/>
      <c r="G16" s="3"/>
      <c r="H16" s="41">
        <f t="shared" si="2"/>
        <v>0</v>
      </c>
    </row>
    <row r="17" ht="21.75" customHeight="1">
      <c r="A17" s="40">
        <v>46209.0</v>
      </c>
      <c r="B17" s="41" t="str">
        <f t="shared" si="1"/>
        <v>月</v>
      </c>
      <c r="C17" s="41">
        <f>ROUNDUP((A17-'01_習慣設計'!$B$6+1)/7,0)</f>
        <v>1</v>
      </c>
      <c r="D17" s="41">
        <f>(YEAR(A17)-YEAR('01_習慣設計'!$B$6))*12+MONTH(A17)-MONTH('01_習慣設計'!$B$6)+1</f>
        <v>1</v>
      </c>
      <c r="E17" s="12"/>
      <c r="F17" s="3"/>
      <c r="G17" s="3"/>
      <c r="H17" s="41">
        <f t="shared" si="2"/>
        <v>0</v>
      </c>
    </row>
    <row r="18" ht="21.75" customHeight="1">
      <c r="A18" s="40">
        <v>46210.0</v>
      </c>
      <c r="B18" s="41" t="str">
        <f t="shared" si="1"/>
        <v>火</v>
      </c>
      <c r="C18" s="41">
        <f>ROUNDUP((A18-'01_習慣設計'!$B$6+1)/7,0)</f>
        <v>1</v>
      </c>
      <c r="D18" s="41">
        <f>(YEAR(A18)-YEAR('01_習慣設計'!$B$6))*12+MONTH(A18)-MONTH('01_習慣設計'!$B$6)+1</f>
        <v>1</v>
      </c>
      <c r="E18" s="12"/>
      <c r="F18" s="3"/>
      <c r="G18" s="3"/>
      <c r="H18" s="41">
        <f t="shared" si="2"/>
        <v>0</v>
      </c>
    </row>
    <row r="19" ht="21.75" customHeight="1">
      <c r="A19" s="40">
        <v>46211.0</v>
      </c>
      <c r="B19" s="41" t="str">
        <f t="shared" si="1"/>
        <v>水</v>
      </c>
      <c r="C19" s="41">
        <f>ROUNDUP((A19-'01_習慣設計'!$B$6+1)/7,0)</f>
        <v>2</v>
      </c>
      <c r="D19" s="41">
        <f>(YEAR(A19)-YEAR('01_習慣設計'!$B$6))*12+MONTH(A19)-MONTH('01_習慣設計'!$B$6)+1</f>
        <v>1</v>
      </c>
      <c r="E19" s="12"/>
      <c r="F19" s="3"/>
      <c r="G19" s="3"/>
      <c r="H19" s="41">
        <f t="shared" si="2"/>
        <v>0</v>
      </c>
    </row>
    <row r="20" ht="21.75" customHeight="1">
      <c r="A20" s="40">
        <v>46212.0</v>
      </c>
      <c r="B20" s="41" t="str">
        <f t="shared" si="1"/>
        <v>木</v>
      </c>
      <c r="C20" s="41">
        <f>ROUNDUP((A20-'01_習慣設計'!$B$6+1)/7,0)</f>
        <v>2</v>
      </c>
      <c r="D20" s="41">
        <f>(YEAR(A20)-YEAR('01_習慣設計'!$B$6))*12+MONTH(A20)-MONTH('01_習慣設計'!$B$6)+1</f>
        <v>1</v>
      </c>
      <c r="E20" s="12"/>
      <c r="F20" s="3"/>
      <c r="G20" s="3"/>
      <c r="H20" s="41">
        <f t="shared" si="2"/>
        <v>0</v>
      </c>
    </row>
    <row r="21" ht="21.75" customHeight="1">
      <c r="A21" s="40">
        <v>46213.0</v>
      </c>
      <c r="B21" s="41" t="str">
        <f t="shared" si="1"/>
        <v>金</v>
      </c>
      <c r="C21" s="41">
        <f>ROUNDUP((A21-'01_習慣設計'!$B$6+1)/7,0)</f>
        <v>2</v>
      </c>
      <c r="D21" s="41">
        <f>(YEAR(A21)-YEAR('01_習慣設計'!$B$6))*12+MONTH(A21)-MONTH('01_習慣設計'!$B$6)+1</f>
        <v>1</v>
      </c>
      <c r="E21" s="12"/>
      <c r="F21" s="3"/>
      <c r="G21" s="3"/>
      <c r="H21" s="41">
        <f t="shared" si="2"/>
        <v>0</v>
      </c>
    </row>
    <row r="22" ht="21.75" customHeight="1">
      <c r="A22" s="40">
        <v>46214.0</v>
      </c>
      <c r="B22" s="41" t="str">
        <f t="shared" si="1"/>
        <v>土</v>
      </c>
      <c r="C22" s="41">
        <f>ROUNDUP((A22-'01_習慣設計'!$B$6+1)/7,0)</f>
        <v>2</v>
      </c>
      <c r="D22" s="41">
        <f>(YEAR(A22)-YEAR('01_習慣設計'!$B$6))*12+MONTH(A22)-MONTH('01_習慣設計'!$B$6)+1</f>
        <v>1</v>
      </c>
      <c r="E22" s="12"/>
      <c r="F22" s="3"/>
      <c r="G22" s="3"/>
      <c r="H22" s="41">
        <f t="shared" si="2"/>
        <v>0</v>
      </c>
    </row>
    <row r="23" ht="21.75" customHeight="1">
      <c r="A23" s="40">
        <v>46215.0</v>
      </c>
      <c r="B23" s="41" t="str">
        <f t="shared" si="1"/>
        <v>日</v>
      </c>
      <c r="C23" s="41">
        <f>ROUNDUP((A23-'01_習慣設計'!$B$6+1)/7,0)</f>
        <v>2</v>
      </c>
      <c r="D23" s="41">
        <f>(YEAR(A23)-YEAR('01_習慣設計'!$B$6))*12+MONTH(A23)-MONTH('01_習慣設計'!$B$6)+1</f>
        <v>1</v>
      </c>
      <c r="E23" s="12"/>
      <c r="F23" s="3"/>
      <c r="G23" s="3"/>
      <c r="H23" s="41">
        <f t="shared" si="2"/>
        <v>0</v>
      </c>
    </row>
    <row r="24" ht="21.75" customHeight="1">
      <c r="A24" s="40">
        <v>46216.0</v>
      </c>
      <c r="B24" s="41" t="str">
        <f t="shared" si="1"/>
        <v>月</v>
      </c>
      <c r="C24" s="41">
        <f>ROUNDUP((A24-'01_習慣設計'!$B$6+1)/7,0)</f>
        <v>2</v>
      </c>
      <c r="D24" s="41">
        <f>(YEAR(A24)-YEAR('01_習慣設計'!$B$6))*12+MONTH(A24)-MONTH('01_習慣設計'!$B$6)+1</f>
        <v>1</v>
      </c>
      <c r="E24" s="12"/>
      <c r="F24" s="3"/>
      <c r="G24" s="3"/>
      <c r="H24" s="41">
        <f t="shared" si="2"/>
        <v>0</v>
      </c>
    </row>
    <row r="25" ht="21.75" customHeight="1">
      <c r="A25" s="40">
        <v>46217.0</v>
      </c>
      <c r="B25" s="41" t="str">
        <f t="shared" si="1"/>
        <v>火</v>
      </c>
      <c r="C25" s="41">
        <f>ROUNDUP((A25-'01_習慣設計'!$B$6+1)/7,0)</f>
        <v>2</v>
      </c>
      <c r="D25" s="41">
        <f>(YEAR(A25)-YEAR('01_習慣設計'!$B$6))*12+MONTH(A25)-MONTH('01_習慣設計'!$B$6)+1</f>
        <v>1</v>
      </c>
      <c r="E25" s="12"/>
      <c r="F25" s="3"/>
      <c r="G25" s="3"/>
      <c r="H25" s="41">
        <f t="shared" si="2"/>
        <v>0</v>
      </c>
    </row>
    <row r="26" ht="21.75" customHeight="1">
      <c r="A26" s="40">
        <v>46218.0</v>
      </c>
      <c r="B26" s="41" t="str">
        <f t="shared" si="1"/>
        <v>水</v>
      </c>
      <c r="C26" s="41">
        <f>ROUNDUP((A26-'01_習慣設計'!$B$6+1)/7,0)</f>
        <v>3</v>
      </c>
      <c r="D26" s="41">
        <f>(YEAR(A26)-YEAR('01_習慣設計'!$B$6))*12+MONTH(A26)-MONTH('01_習慣設計'!$B$6)+1</f>
        <v>1</v>
      </c>
      <c r="E26" s="12"/>
      <c r="F26" s="3"/>
      <c r="G26" s="3"/>
      <c r="H26" s="41">
        <f t="shared" si="2"/>
        <v>0</v>
      </c>
    </row>
    <row r="27" ht="21.75" customHeight="1">
      <c r="A27" s="40">
        <v>46219.0</v>
      </c>
      <c r="B27" s="41" t="str">
        <f t="shared" si="1"/>
        <v>木</v>
      </c>
      <c r="C27" s="41">
        <f>ROUNDUP((A27-'01_習慣設計'!$B$6+1)/7,0)</f>
        <v>3</v>
      </c>
      <c r="D27" s="41">
        <f>(YEAR(A27)-YEAR('01_習慣設計'!$B$6))*12+MONTH(A27)-MONTH('01_習慣設計'!$B$6)+1</f>
        <v>1</v>
      </c>
      <c r="E27" s="12"/>
      <c r="F27" s="3"/>
      <c r="G27" s="3"/>
      <c r="H27" s="41">
        <f t="shared" si="2"/>
        <v>0</v>
      </c>
    </row>
    <row r="28" ht="21.75" customHeight="1">
      <c r="A28" s="40">
        <v>46220.0</v>
      </c>
      <c r="B28" s="41" t="str">
        <f t="shared" si="1"/>
        <v>金</v>
      </c>
      <c r="C28" s="41">
        <f>ROUNDUP((A28-'01_習慣設計'!$B$6+1)/7,0)</f>
        <v>3</v>
      </c>
      <c r="D28" s="41">
        <f>(YEAR(A28)-YEAR('01_習慣設計'!$B$6))*12+MONTH(A28)-MONTH('01_習慣設計'!$B$6)+1</f>
        <v>1</v>
      </c>
      <c r="E28" s="12"/>
      <c r="F28" s="3"/>
      <c r="G28" s="3"/>
      <c r="H28" s="41">
        <f t="shared" si="2"/>
        <v>0</v>
      </c>
    </row>
    <row r="29" ht="21.75" customHeight="1">
      <c r="A29" s="40">
        <v>46221.0</v>
      </c>
      <c r="B29" s="41" t="str">
        <f t="shared" si="1"/>
        <v>土</v>
      </c>
      <c r="C29" s="41">
        <f>ROUNDUP((A29-'01_習慣設計'!$B$6+1)/7,0)</f>
        <v>3</v>
      </c>
      <c r="D29" s="41">
        <f>(YEAR(A29)-YEAR('01_習慣設計'!$B$6))*12+MONTH(A29)-MONTH('01_習慣設計'!$B$6)+1</f>
        <v>1</v>
      </c>
      <c r="E29" s="12"/>
      <c r="F29" s="3"/>
      <c r="G29" s="3"/>
      <c r="H29" s="41">
        <f t="shared" si="2"/>
        <v>0</v>
      </c>
    </row>
    <row r="30" ht="21.75" customHeight="1">
      <c r="A30" s="40">
        <v>46222.0</v>
      </c>
      <c r="B30" s="41" t="str">
        <f t="shared" si="1"/>
        <v>日</v>
      </c>
      <c r="C30" s="41">
        <f>ROUNDUP((A30-'01_習慣設計'!$B$6+1)/7,0)</f>
        <v>3</v>
      </c>
      <c r="D30" s="41">
        <f>(YEAR(A30)-YEAR('01_習慣設計'!$B$6))*12+MONTH(A30)-MONTH('01_習慣設計'!$B$6)+1</f>
        <v>1</v>
      </c>
      <c r="E30" s="12"/>
      <c r="F30" s="3"/>
      <c r="G30" s="3"/>
      <c r="H30" s="41">
        <f t="shared" si="2"/>
        <v>0</v>
      </c>
    </row>
    <row r="31" ht="21.75" customHeight="1">
      <c r="A31" s="40">
        <v>46223.0</v>
      </c>
      <c r="B31" s="41" t="str">
        <f t="shared" si="1"/>
        <v>月</v>
      </c>
      <c r="C31" s="41">
        <f>ROUNDUP((A31-'01_習慣設計'!$B$6+1)/7,0)</f>
        <v>3</v>
      </c>
      <c r="D31" s="41">
        <f>(YEAR(A31)-YEAR('01_習慣設計'!$B$6))*12+MONTH(A31)-MONTH('01_習慣設計'!$B$6)+1</f>
        <v>1</v>
      </c>
      <c r="E31" s="12"/>
      <c r="F31" s="3"/>
      <c r="G31" s="3"/>
      <c r="H31" s="41">
        <f t="shared" si="2"/>
        <v>0</v>
      </c>
    </row>
    <row r="32" ht="21.75" customHeight="1">
      <c r="A32" s="40">
        <v>46224.0</v>
      </c>
      <c r="B32" s="41" t="str">
        <f t="shared" si="1"/>
        <v>火</v>
      </c>
      <c r="C32" s="41">
        <f>ROUNDUP((A32-'01_習慣設計'!$B$6+1)/7,0)</f>
        <v>3</v>
      </c>
      <c r="D32" s="41">
        <f>(YEAR(A32)-YEAR('01_習慣設計'!$B$6))*12+MONTH(A32)-MONTH('01_習慣設計'!$B$6)+1</f>
        <v>1</v>
      </c>
      <c r="E32" s="12"/>
      <c r="F32" s="3"/>
      <c r="G32" s="3"/>
      <c r="H32" s="41">
        <f t="shared" si="2"/>
        <v>0</v>
      </c>
    </row>
    <row r="33" ht="21.75" customHeight="1">
      <c r="A33" s="40">
        <v>46225.0</v>
      </c>
      <c r="B33" s="41" t="str">
        <f t="shared" si="1"/>
        <v>水</v>
      </c>
      <c r="C33" s="41">
        <f>ROUNDUP((A33-'01_習慣設計'!$B$6+1)/7,0)</f>
        <v>4</v>
      </c>
      <c r="D33" s="41">
        <f>(YEAR(A33)-YEAR('01_習慣設計'!$B$6))*12+MONTH(A33)-MONTH('01_習慣設計'!$B$6)+1</f>
        <v>1</v>
      </c>
      <c r="E33" s="12"/>
      <c r="F33" s="3"/>
      <c r="G33" s="3"/>
      <c r="H33" s="41">
        <f t="shared" si="2"/>
        <v>0</v>
      </c>
    </row>
    <row r="34" ht="21.75" customHeight="1">
      <c r="A34" s="40">
        <v>46226.0</v>
      </c>
      <c r="B34" s="41" t="str">
        <f t="shared" si="1"/>
        <v>木</v>
      </c>
      <c r="C34" s="41">
        <f>ROUNDUP((A34-'01_習慣設計'!$B$6+1)/7,0)</f>
        <v>4</v>
      </c>
      <c r="D34" s="41">
        <f>(YEAR(A34)-YEAR('01_習慣設計'!$B$6))*12+MONTH(A34)-MONTH('01_習慣設計'!$B$6)+1</f>
        <v>1</v>
      </c>
      <c r="E34" s="12"/>
      <c r="F34" s="3"/>
      <c r="G34" s="3"/>
      <c r="H34" s="41">
        <f t="shared" si="2"/>
        <v>0</v>
      </c>
    </row>
    <row r="35" ht="21.75" customHeight="1">
      <c r="A35" s="40">
        <v>46227.0</v>
      </c>
      <c r="B35" s="41" t="str">
        <f t="shared" si="1"/>
        <v>金</v>
      </c>
      <c r="C35" s="41">
        <f>ROUNDUP((A35-'01_習慣設計'!$B$6+1)/7,0)</f>
        <v>4</v>
      </c>
      <c r="D35" s="41">
        <f>(YEAR(A35)-YEAR('01_習慣設計'!$B$6))*12+MONTH(A35)-MONTH('01_習慣設計'!$B$6)+1</f>
        <v>1</v>
      </c>
      <c r="E35" s="12"/>
      <c r="F35" s="3"/>
      <c r="G35" s="3"/>
      <c r="H35" s="41">
        <f t="shared" si="2"/>
        <v>0</v>
      </c>
    </row>
    <row r="36" ht="21.75" customHeight="1">
      <c r="A36" s="40">
        <v>46228.0</v>
      </c>
      <c r="B36" s="41" t="str">
        <f t="shared" si="1"/>
        <v>土</v>
      </c>
      <c r="C36" s="41">
        <f>ROUNDUP((A36-'01_習慣設計'!$B$6+1)/7,0)</f>
        <v>4</v>
      </c>
      <c r="D36" s="41">
        <f>(YEAR(A36)-YEAR('01_習慣設計'!$B$6))*12+MONTH(A36)-MONTH('01_習慣設計'!$B$6)+1</f>
        <v>1</v>
      </c>
      <c r="E36" s="12"/>
      <c r="F36" s="3"/>
      <c r="G36" s="3"/>
      <c r="H36" s="41">
        <f t="shared" si="2"/>
        <v>0</v>
      </c>
    </row>
    <row r="37" ht="21.75" customHeight="1">
      <c r="A37" s="40">
        <v>46229.0</v>
      </c>
      <c r="B37" s="41" t="str">
        <f t="shared" si="1"/>
        <v>日</v>
      </c>
      <c r="C37" s="41">
        <f>ROUNDUP((A37-'01_習慣設計'!$B$6+1)/7,0)</f>
        <v>4</v>
      </c>
      <c r="D37" s="41">
        <f>(YEAR(A37)-YEAR('01_習慣設計'!$B$6))*12+MONTH(A37)-MONTH('01_習慣設計'!$B$6)+1</f>
        <v>1</v>
      </c>
      <c r="E37" s="12"/>
      <c r="F37" s="3"/>
      <c r="G37" s="3"/>
      <c r="H37" s="41">
        <f t="shared" si="2"/>
        <v>0</v>
      </c>
    </row>
    <row r="38" ht="21.75" customHeight="1">
      <c r="A38" s="40">
        <v>46230.0</v>
      </c>
      <c r="B38" s="41" t="str">
        <f t="shared" si="1"/>
        <v>月</v>
      </c>
      <c r="C38" s="41">
        <f>ROUNDUP((A38-'01_習慣設計'!$B$6+1)/7,0)</f>
        <v>4</v>
      </c>
      <c r="D38" s="41">
        <f>(YEAR(A38)-YEAR('01_習慣設計'!$B$6))*12+MONTH(A38)-MONTH('01_習慣設計'!$B$6)+1</f>
        <v>1</v>
      </c>
      <c r="E38" s="12"/>
      <c r="F38" s="3"/>
      <c r="G38" s="3"/>
      <c r="H38" s="41">
        <f t="shared" si="2"/>
        <v>0</v>
      </c>
    </row>
    <row r="39" ht="21.75" customHeight="1">
      <c r="A39" s="40">
        <v>46231.0</v>
      </c>
      <c r="B39" s="41" t="str">
        <f t="shared" si="1"/>
        <v>火</v>
      </c>
      <c r="C39" s="41">
        <f>ROUNDUP((A39-'01_習慣設計'!$B$6+1)/7,0)</f>
        <v>4</v>
      </c>
      <c r="D39" s="41">
        <f>(YEAR(A39)-YEAR('01_習慣設計'!$B$6))*12+MONTH(A39)-MONTH('01_習慣設計'!$B$6)+1</f>
        <v>1</v>
      </c>
      <c r="E39" s="12"/>
      <c r="F39" s="3"/>
      <c r="G39" s="3"/>
      <c r="H39" s="41">
        <f t="shared" si="2"/>
        <v>0</v>
      </c>
    </row>
    <row r="40" ht="21.75" customHeight="1">
      <c r="A40" s="40">
        <v>46232.0</v>
      </c>
      <c r="B40" s="41" t="str">
        <f t="shared" si="1"/>
        <v>水</v>
      </c>
      <c r="C40" s="41">
        <f>ROUNDUP((A40-'01_習慣設計'!$B$6+1)/7,0)</f>
        <v>5</v>
      </c>
      <c r="D40" s="41">
        <f>(YEAR(A40)-YEAR('01_習慣設計'!$B$6))*12+MONTH(A40)-MONTH('01_習慣設計'!$B$6)+1</f>
        <v>1</v>
      </c>
      <c r="E40" s="12"/>
      <c r="F40" s="3"/>
      <c r="G40" s="3"/>
      <c r="H40" s="41">
        <f t="shared" si="2"/>
        <v>0</v>
      </c>
    </row>
    <row r="41" ht="21.75" customHeight="1">
      <c r="A41" s="40">
        <v>46233.0</v>
      </c>
      <c r="B41" s="41" t="str">
        <f t="shared" si="1"/>
        <v>木</v>
      </c>
      <c r="C41" s="41">
        <f>ROUNDUP((A41-'01_習慣設計'!$B$6+1)/7,0)</f>
        <v>5</v>
      </c>
      <c r="D41" s="41">
        <f>(YEAR(A41)-YEAR('01_習慣設計'!$B$6))*12+MONTH(A41)-MONTH('01_習慣設計'!$B$6)+1</f>
        <v>1</v>
      </c>
      <c r="E41" s="12"/>
      <c r="F41" s="3"/>
      <c r="G41" s="3"/>
      <c r="H41" s="41">
        <f t="shared" si="2"/>
        <v>0</v>
      </c>
    </row>
    <row r="42" ht="21.75" customHeight="1">
      <c r="A42" s="40">
        <v>46234.0</v>
      </c>
      <c r="B42" s="41" t="str">
        <f t="shared" si="1"/>
        <v>金</v>
      </c>
      <c r="C42" s="41">
        <f>ROUNDUP((A42-'01_習慣設計'!$B$6+1)/7,0)</f>
        <v>5</v>
      </c>
      <c r="D42" s="41">
        <f>(YEAR(A42)-YEAR('01_習慣設計'!$B$6))*12+MONTH(A42)-MONTH('01_習慣設計'!$B$6)+1</f>
        <v>1</v>
      </c>
      <c r="E42" s="12"/>
      <c r="F42" s="3"/>
      <c r="G42" s="3"/>
      <c r="H42" s="41">
        <f t="shared" si="2"/>
        <v>0</v>
      </c>
    </row>
    <row r="43" ht="21.75" customHeight="1">
      <c r="A43" s="40">
        <v>46235.0</v>
      </c>
      <c r="B43" s="41" t="str">
        <f t="shared" si="1"/>
        <v>土</v>
      </c>
      <c r="C43" s="41">
        <f>ROUNDUP((A43-'01_習慣設計'!$B$6+1)/7,0)</f>
        <v>5</v>
      </c>
      <c r="D43" s="41">
        <f>(YEAR(A43)-YEAR('01_習慣設計'!$B$6))*12+MONTH(A43)-MONTH('01_習慣設計'!$B$6)+1</f>
        <v>2</v>
      </c>
      <c r="E43" s="12"/>
      <c r="F43" s="3"/>
      <c r="G43" s="3"/>
      <c r="H43" s="41">
        <f t="shared" si="2"/>
        <v>0</v>
      </c>
    </row>
    <row r="44" ht="21.75" customHeight="1">
      <c r="A44" s="40">
        <v>46236.0</v>
      </c>
      <c r="B44" s="41" t="str">
        <f t="shared" si="1"/>
        <v>日</v>
      </c>
      <c r="C44" s="41">
        <f>ROUNDUP((A44-'01_習慣設計'!$B$6+1)/7,0)</f>
        <v>5</v>
      </c>
      <c r="D44" s="41">
        <f>(YEAR(A44)-YEAR('01_習慣設計'!$B$6))*12+MONTH(A44)-MONTH('01_習慣設計'!$B$6)+1</f>
        <v>2</v>
      </c>
      <c r="E44" s="12"/>
      <c r="F44" s="3"/>
      <c r="G44" s="3"/>
      <c r="H44" s="41">
        <f t="shared" si="2"/>
        <v>0</v>
      </c>
    </row>
    <row r="45" ht="21.75" customHeight="1">
      <c r="A45" s="40">
        <v>46237.0</v>
      </c>
      <c r="B45" s="41" t="str">
        <f t="shared" si="1"/>
        <v>月</v>
      </c>
      <c r="C45" s="41">
        <f>ROUNDUP((A45-'01_習慣設計'!$B$6+1)/7,0)</f>
        <v>5</v>
      </c>
      <c r="D45" s="41">
        <f>(YEAR(A45)-YEAR('01_習慣設計'!$B$6))*12+MONTH(A45)-MONTH('01_習慣設計'!$B$6)+1</f>
        <v>2</v>
      </c>
      <c r="E45" s="12"/>
      <c r="F45" s="3"/>
      <c r="G45" s="3"/>
      <c r="H45" s="41">
        <f t="shared" si="2"/>
        <v>0</v>
      </c>
    </row>
    <row r="46" ht="21.75" customHeight="1">
      <c r="A46" s="40">
        <v>46238.0</v>
      </c>
      <c r="B46" s="41" t="str">
        <f t="shared" si="1"/>
        <v>火</v>
      </c>
      <c r="C46" s="41">
        <f>ROUNDUP((A46-'01_習慣設計'!$B$6+1)/7,0)</f>
        <v>5</v>
      </c>
      <c r="D46" s="41">
        <f>(YEAR(A46)-YEAR('01_習慣設計'!$B$6))*12+MONTH(A46)-MONTH('01_習慣設計'!$B$6)+1</f>
        <v>2</v>
      </c>
      <c r="E46" s="12"/>
      <c r="F46" s="3"/>
      <c r="G46" s="3"/>
      <c r="H46" s="41">
        <f t="shared" si="2"/>
        <v>0</v>
      </c>
    </row>
    <row r="47" ht="21.75" customHeight="1">
      <c r="A47" s="40">
        <v>46239.0</v>
      </c>
      <c r="B47" s="41" t="str">
        <f t="shared" si="1"/>
        <v>水</v>
      </c>
      <c r="C47" s="41">
        <f>ROUNDUP((A47-'01_習慣設計'!$B$6+1)/7,0)</f>
        <v>6</v>
      </c>
      <c r="D47" s="41">
        <f>(YEAR(A47)-YEAR('01_習慣設計'!$B$6))*12+MONTH(A47)-MONTH('01_習慣設計'!$B$6)+1</f>
        <v>2</v>
      </c>
      <c r="E47" s="12"/>
      <c r="F47" s="3"/>
      <c r="G47" s="3"/>
      <c r="H47" s="41">
        <f t="shared" si="2"/>
        <v>0</v>
      </c>
    </row>
    <row r="48" ht="21.75" customHeight="1">
      <c r="A48" s="40">
        <v>46240.0</v>
      </c>
      <c r="B48" s="41" t="str">
        <f t="shared" si="1"/>
        <v>木</v>
      </c>
      <c r="C48" s="41">
        <f>ROUNDUP((A48-'01_習慣設計'!$B$6+1)/7,0)</f>
        <v>6</v>
      </c>
      <c r="D48" s="41">
        <f>(YEAR(A48)-YEAR('01_習慣設計'!$B$6))*12+MONTH(A48)-MONTH('01_習慣設計'!$B$6)+1</f>
        <v>2</v>
      </c>
      <c r="E48" s="12"/>
      <c r="F48" s="3"/>
      <c r="G48" s="3"/>
      <c r="H48" s="41">
        <f t="shared" si="2"/>
        <v>0</v>
      </c>
    </row>
    <row r="49" ht="21.75" customHeight="1">
      <c r="A49" s="40">
        <v>46241.0</v>
      </c>
      <c r="B49" s="41" t="str">
        <f t="shared" si="1"/>
        <v>金</v>
      </c>
      <c r="C49" s="41">
        <f>ROUNDUP((A49-'01_習慣設計'!$B$6+1)/7,0)</f>
        <v>6</v>
      </c>
      <c r="D49" s="41">
        <f>(YEAR(A49)-YEAR('01_習慣設計'!$B$6))*12+MONTH(A49)-MONTH('01_習慣設計'!$B$6)+1</f>
        <v>2</v>
      </c>
      <c r="E49" s="12"/>
      <c r="F49" s="3"/>
      <c r="G49" s="3"/>
      <c r="H49" s="41">
        <f t="shared" si="2"/>
        <v>0</v>
      </c>
    </row>
    <row r="50" ht="21.75" customHeight="1">
      <c r="A50" s="40">
        <v>46242.0</v>
      </c>
      <c r="B50" s="41" t="str">
        <f t="shared" si="1"/>
        <v>土</v>
      </c>
      <c r="C50" s="41">
        <f>ROUNDUP((A50-'01_習慣設計'!$B$6+1)/7,0)</f>
        <v>6</v>
      </c>
      <c r="D50" s="41">
        <f>(YEAR(A50)-YEAR('01_習慣設計'!$B$6))*12+MONTH(A50)-MONTH('01_習慣設計'!$B$6)+1</f>
        <v>2</v>
      </c>
      <c r="E50" s="12"/>
      <c r="F50" s="3"/>
      <c r="G50" s="3"/>
      <c r="H50" s="41">
        <f t="shared" si="2"/>
        <v>0</v>
      </c>
    </row>
    <row r="51" ht="21.75" customHeight="1">
      <c r="A51" s="40">
        <v>46243.0</v>
      </c>
      <c r="B51" s="41" t="str">
        <f t="shared" si="1"/>
        <v>日</v>
      </c>
      <c r="C51" s="41">
        <f>ROUNDUP((A51-'01_習慣設計'!$B$6+1)/7,0)</f>
        <v>6</v>
      </c>
      <c r="D51" s="41">
        <f>(YEAR(A51)-YEAR('01_習慣設計'!$B$6))*12+MONTH(A51)-MONTH('01_習慣設計'!$B$6)+1</f>
        <v>2</v>
      </c>
      <c r="E51" s="12"/>
      <c r="F51" s="3"/>
      <c r="G51" s="3"/>
      <c r="H51" s="41">
        <f t="shared" si="2"/>
        <v>0</v>
      </c>
    </row>
    <row r="52" ht="21.75" customHeight="1">
      <c r="A52" s="40">
        <v>46244.0</v>
      </c>
      <c r="B52" s="41" t="str">
        <f t="shared" si="1"/>
        <v>月</v>
      </c>
      <c r="C52" s="41">
        <f>ROUNDUP((A52-'01_習慣設計'!$B$6+1)/7,0)</f>
        <v>6</v>
      </c>
      <c r="D52" s="41">
        <f>(YEAR(A52)-YEAR('01_習慣設計'!$B$6))*12+MONTH(A52)-MONTH('01_習慣設計'!$B$6)+1</f>
        <v>2</v>
      </c>
      <c r="E52" s="12"/>
      <c r="F52" s="3"/>
      <c r="G52" s="3"/>
      <c r="H52" s="41">
        <f t="shared" si="2"/>
        <v>0</v>
      </c>
    </row>
    <row r="53" ht="21.75" customHeight="1">
      <c r="A53" s="40">
        <v>46245.0</v>
      </c>
      <c r="B53" s="41" t="str">
        <f t="shared" si="1"/>
        <v>火</v>
      </c>
      <c r="C53" s="41">
        <f>ROUNDUP((A53-'01_習慣設計'!$B$6+1)/7,0)</f>
        <v>6</v>
      </c>
      <c r="D53" s="41">
        <f>(YEAR(A53)-YEAR('01_習慣設計'!$B$6))*12+MONTH(A53)-MONTH('01_習慣設計'!$B$6)+1</f>
        <v>2</v>
      </c>
      <c r="E53" s="12"/>
      <c r="F53" s="3"/>
      <c r="G53" s="3"/>
      <c r="H53" s="41">
        <f t="shared" si="2"/>
        <v>0</v>
      </c>
    </row>
    <row r="54" ht="21.75" customHeight="1">
      <c r="A54" s="40">
        <v>46246.0</v>
      </c>
      <c r="B54" s="41" t="str">
        <f t="shared" si="1"/>
        <v>水</v>
      </c>
      <c r="C54" s="41">
        <f>ROUNDUP((A54-'01_習慣設計'!$B$6+1)/7,0)</f>
        <v>7</v>
      </c>
      <c r="D54" s="41">
        <f>(YEAR(A54)-YEAR('01_習慣設計'!$B$6))*12+MONTH(A54)-MONTH('01_習慣設計'!$B$6)+1</f>
        <v>2</v>
      </c>
      <c r="E54" s="12"/>
      <c r="F54" s="3"/>
      <c r="G54" s="3"/>
      <c r="H54" s="41">
        <f t="shared" si="2"/>
        <v>0</v>
      </c>
    </row>
    <row r="55" ht="21.75" customHeight="1">
      <c r="A55" s="40">
        <v>46247.0</v>
      </c>
      <c r="B55" s="41" t="str">
        <f t="shared" si="1"/>
        <v>木</v>
      </c>
      <c r="C55" s="41">
        <f>ROUNDUP((A55-'01_習慣設計'!$B$6+1)/7,0)</f>
        <v>7</v>
      </c>
      <c r="D55" s="41">
        <f>(YEAR(A55)-YEAR('01_習慣設計'!$B$6))*12+MONTH(A55)-MONTH('01_習慣設計'!$B$6)+1</f>
        <v>2</v>
      </c>
      <c r="E55" s="12"/>
      <c r="F55" s="3"/>
      <c r="G55" s="3"/>
      <c r="H55" s="41">
        <f t="shared" si="2"/>
        <v>0</v>
      </c>
    </row>
    <row r="56" ht="21.75" customHeight="1">
      <c r="A56" s="40">
        <v>46248.0</v>
      </c>
      <c r="B56" s="41" t="str">
        <f t="shared" si="1"/>
        <v>金</v>
      </c>
      <c r="C56" s="41">
        <f>ROUNDUP((A56-'01_習慣設計'!$B$6+1)/7,0)</f>
        <v>7</v>
      </c>
      <c r="D56" s="41">
        <f>(YEAR(A56)-YEAR('01_習慣設計'!$B$6))*12+MONTH(A56)-MONTH('01_習慣設計'!$B$6)+1</f>
        <v>2</v>
      </c>
      <c r="E56" s="12"/>
      <c r="F56" s="3"/>
      <c r="G56" s="3"/>
      <c r="H56" s="41">
        <f t="shared" si="2"/>
        <v>0</v>
      </c>
    </row>
    <row r="57" ht="21.75" customHeight="1">
      <c r="A57" s="40">
        <v>46249.0</v>
      </c>
      <c r="B57" s="41" t="str">
        <f t="shared" si="1"/>
        <v>土</v>
      </c>
      <c r="C57" s="41">
        <f>ROUNDUP((A57-'01_習慣設計'!$B$6+1)/7,0)</f>
        <v>7</v>
      </c>
      <c r="D57" s="41">
        <f>(YEAR(A57)-YEAR('01_習慣設計'!$B$6))*12+MONTH(A57)-MONTH('01_習慣設計'!$B$6)+1</f>
        <v>2</v>
      </c>
      <c r="E57" s="12"/>
      <c r="F57" s="3"/>
      <c r="G57" s="3"/>
      <c r="H57" s="41">
        <f t="shared" si="2"/>
        <v>0</v>
      </c>
    </row>
    <row r="58" ht="21.75" customHeight="1">
      <c r="A58" s="40">
        <v>46250.0</v>
      </c>
      <c r="B58" s="41" t="str">
        <f t="shared" si="1"/>
        <v>日</v>
      </c>
      <c r="C58" s="41">
        <f>ROUNDUP((A58-'01_習慣設計'!$B$6+1)/7,0)</f>
        <v>7</v>
      </c>
      <c r="D58" s="41">
        <f>(YEAR(A58)-YEAR('01_習慣設計'!$B$6))*12+MONTH(A58)-MONTH('01_習慣設計'!$B$6)+1</f>
        <v>2</v>
      </c>
      <c r="E58" s="12"/>
      <c r="F58" s="3"/>
      <c r="G58" s="3"/>
      <c r="H58" s="41">
        <f t="shared" si="2"/>
        <v>0</v>
      </c>
    </row>
    <row r="59" ht="21.75" customHeight="1">
      <c r="A59" s="40">
        <v>46251.0</v>
      </c>
      <c r="B59" s="41" t="str">
        <f t="shared" si="1"/>
        <v>月</v>
      </c>
      <c r="C59" s="41">
        <f>ROUNDUP((A59-'01_習慣設計'!$B$6+1)/7,0)</f>
        <v>7</v>
      </c>
      <c r="D59" s="41">
        <f>(YEAR(A59)-YEAR('01_習慣設計'!$B$6))*12+MONTH(A59)-MONTH('01_習慣設計'!$B$6)+1</f>
        <v>2</v>
      </c>
      <c r="E59" s="12"/>
      <c r="F59" s="3"/>
      <c r="G59" s="3"/>
      <c r="H59" s="41">
        <f t="shared" si="2"/>
        <v>0</v>
      </c>
    </row>
    <row r="60" ht="21.75" customHeight="1">
      <c r="A60" s="40">
        <v>46252.0</v>
      </c>
      <c r="B60" s="41" t="str">
        <f t="shared" si="1"/>
        <v>火</v>
      </c>
      <c r="C60" s="41">
        <f>ROUNDUP((A60-'01_習慣設計'!$B$6+1)/7,0)</f>
        <v>7</v>
      </c>
      <c r="D60" s="41">
        <f>(YEAR(A60)-YEAR('01_習慣設計'!$B$6))*12+MONTH(A60)-MONTH('01_習慣設計'!$B$6)+1</f>
        <v>2</v>
      </c>
      <c r="E60" s="12"/>
      <c r="F60" s="3"/>
      <c r="G60" s="3"/>
      <c r="H60" s="41">
        <f t="shared" si="2"/>
        <v>0</v>
      </c>
    </row>
    <row r="61" ht="21.75" customHeight="1">
      <c r="A61" s="40">
        <v>46253.0</v>
      </c>
      <c r="B61" s="41" t="str">
        <f t="shared" si="1"/>
        <v>水</v>
      </c>
      <c r="C61" s="41">
        <f>ROUNDUP((A61-'01_習慣設計'!$B$6+1)/7,0)</f>
        <v>8</v>
      </c>
      <c r="D61" s="41">
        <f>(YEAR(A61)-YEAR('01_習慣設計'!$B$6))*12+MONTH(A61)-MONTH('01_習慣設計'!$B$6)+1</f>
        <v>2</v>
      </c>
      <c r="E61" s="12"/>
      <c r="F61" s="3"/>
      <c r="G61" s="3"/>
      <c r="H61" s="41">
        <f t="shared" si="2"/>
        <v>0</v>
      </c>
    </row>
    <row r="62" ht="21.75" customHeight="1">
      <c r="A62" s="40">
        <v>46254.0</v>
      </c>
      <c r="B62" s="41" t="str">
        <f t="shared" si="1"/>
        <v>木</v>
      </c>
      <c r="C62" s="41">
        <f>ROUNDUP((A62-'01_習慣設計'!$B$6+1)/7,0)</f>
        <v>8</v>
      </c>
      <c r="D62" s="41">
        <f>(YEAR(A62)-YEAR('01_習慣設計'!$B$6))*12+MONTH(A62)-MONTH('01_習慣設計'!$B$6)+1</f>
        <v>2</v>
      </c>
      <c r="E62" s="12"/>
      <c r="F62" s="3"/>
      <c r="G62" s="3"/>
      <c r="H62" s="41">
        <f t="shared" si="2"/>
        <v>0</v>
      </c>
    </row>
    <row r="63" ht="21.75" customHeight="1">
      <c r="A63" s="40">
        <v>46255.0</v>
      </c>
      <c r="B63" s="41" t="str">
        <f t="shared" si="1"/>
        <v>金</v>
      </c>
      <c r="C63" s="41">
        <f>ROUNDUP((A63-'01_習慣設計'!$B$6+1)/7,0)</f>
        <v>8</v>
      </c>
      <c r="D63" s="41">
        <f>(YEAR(A63)-YEAR('01_習慣設計'!$B$6))*12+MONTH(A63)-MONTH('01_習慣設計'!$B$6)+1</f>
        <v>2</v>
      </c>
      <c r="E63" s="12"/>
      <c r="F63" s="3"/>
      <c r="G63" s="3"/>
      <c r="H63" s="41">
        <f t="shared" si="2"/>
        <v>0</v>
      </c>
    </row>
    <row r="64" ht="21.75" customHeight="1">
      <c r="A64" s="40">
        <v>46256.0</v>
      </c>
      <c r="B64" s="41" t="str">
        <f t="shared" si="1"/>
        <v>土</v>
      </c>
      <c r="C64" s="41">
        <f>ROUNDUP((A64-'01_習慣設計'!$B$6+1)/7,0)</f>
        <v>8</v>
      </c>
      <c r="D64" s="41">
        <f>(YEAR(A64)-YEAR('01_習慣設計'!$B$6))*12+MONTH(A64)-MONTH('01_習慣設計'!$B$6)+1</f>
        <v>2</v>
      </c>
      <c r="E64" s="12"/>
      <c r="F64" s="3"/>
      <c r="G64" s="3"/>
      <c r="H64" s="41">
        <f t="shared" si="2"/>
        <v>0</v>
      </c>
    </row>
    <row r="65" ht="21.75" customHeight="1">
      <c r="A65" s="40">
        <v>46257.0</v>
      </c>
      <c r="B65" s="41" t="str">
        <f t="shared" si="1"/>
        <v>日</v>
      </c>
      <c r="C65" s="41">
        <f>ROUNDUP((A65-'01_習慣設計'!$B$6+1)/7,0)</f>
        <v>8</v>
      </c>
      <c r="D65" s="41">
        <f>(YEAR(A65)-YEAR('01_習慣設計'!$B$6))*12+MONTH(A65)-MONTH('01_習慣設計'!$B$6)+1</f>
        <v>2</v>
      </c>
      <c r="E65" s="12"/>
      <c r="F65" s="3"/>
      <c r="G65" s="3"/>
      <c r="H65" s="41">
        <f t="shared" si="2"/>
        <v>0</v>
      </c>
    </row>
    <row r="66" ht="21.75" customHeight="1">
      <c r="A66" s="40">
        <v>46258.0</v>
      </c>
      <c r="B66" s="41" t="str">
        <f t="shared" si="1"/>
        <v>月</v>
      </c>
      <c r="C66" s="41">
        <f>ROUNDUP((A66-'01_習慣設計'!$B$6+1)/7,0)</f>
        <v>8</v>
      </c>
      <c r="D66" s="41">
        <f>(YEAR(A66)-YEAR('01_習慣設計'!$B$6))*12+MONTH(A66)-MONTH('01_習慣設計'!$B$6)+1</f>
        <v>2</v>
      </c>
      <c r="E66" s="12"/>
      <c r="F66" s="3"/>
      <c r="G66" s="3"/>
      <c r="H66" s="41">
        <f t="shared" si="2"/>
        <v>0</v>
      </c>
    </row>
    <row r="67" ht="21.75" customHeight="1">
      <c r="A67" s="40">
        <v>46259.0</v>
      </c>
      <c r="B67" s="41" t="str">
        <f t="shared" si="1"/>
        <v>火</v>
      </c>
      <c r="C67" s="41">
        <f>ROUNDUP((A67-'01_習慣設計'!$B$6+1)/7,0)</f>
        <v>8</v>
      </c>
      <c r="D67" s="41">
        <f>(YEAR(A67)-YEAR('01_習慣設計'!$B$6))*12+MONTH(A67)-MONTH('01_習慣設計'!$B$6)+1</f>
        <v>2</v>
      </c>
      <c r="E67" s="12"/>
      <c r="F67" s="3"/>
      <c r="G67" s="3"/>
      <c r="H67" s="41">
        <f t="shared" si="2"/>
        <v>0</v>
      </c>
    </row>
    <row r="68" ht="21.75" customHeight="1">
      <c r="A68" s="40">
        <v>46260.0</v>
      </c>
      <c r="B68" s="41" t="str">
        <f t="shared" si="1"/>
        <v>水</v>
      </c>
      <c r="C68" s="41">
        <f>ROUNDUP((A68-'01_習慣設計'!$B$6+1)/7,0)</f>
        <v>9</v>
      </c>
      <c r="D68" s="41">
        <f>(YEAR(A68)-YEAR('01_習慣設計'!$B$6))*12+MONTH(A68)-MONTH('01_習慣設計'!$B$6)+1</f>
        <v>2</v>
      </c>
      <c r="E68" s="12"/>
      <c r="F68" s="3"/>
      <c r="G68" s="3"/>
      <c r="H68" s="41">
        <f t="shared" si="2"/>
        <v>0</v>
      </c>
    </row>
    <row r="69" ht="21.75" customHeight="1">
      <c r="A69" s="40">
        <v>46261.0</v>
      </c>
      <c r="B69" s="41" t="str">
        <f t="shared" si="1"/>
        <v>木</v>
      </c>
      <c r="C69" s="41">
        <f>ROUNDUP((A69-'01_習慣設計'!$B$6+1)/7,0)</f>
        <v>9</v>
      </c>
      <c r="D69" s="41">
        <f>(YEAR(A69)-YEAR('01_習慣設計'!$B$6))*12+MONTH(A69)-MONTH('01_習慣設計'!$B$6)+1</f>
        <v>2</v>
      </c>
      <c r="E69" s="12"/>
      <c r="F69" s="3"/>
      <c r="G69" s="3"/>
      <c r="H69" s="41">
        <f t="shared" si="2"/>
        <v>0</v>
      </c>
    </row>
    <row r="70" ht="21.75" customHeight="1">
      <c r="A70" s="40">
        <v>46262.0</v>
      </c>
      <c r="B70" s="41" t="str">
        <f t="shared" si="1"/>
        <v>金</v>
      </c>
      <c r="C70" s="41">
        <f>ROUNDUP((A70-'01_習慣設計'!$B$6+1)/7,0)</f>
        <v>9</v>
      </c>
      <c r="D70" s="41">
        <f>(YEAR(A70)-YEAR('01_習慣設計'!$B$6))*12+MONTH(A70)-MONTH('01_習慣設計'!$B$6)+1</f>
        <v>2</v>
      </c>
      <c r="E70" s="12"/>
      <c r="F70" s="3"/>
      <c r="G70" s="3"/>
      <c r="H70" s="41">
        <f t="shared" si="2"/>
        <v>0</v>
      </c>
    </row>
    <row r="71" ht="21.75" customHeight="1">
      <c r="A71" s="40">
        <v>46263.0</v>
      </c>
      <c r="B71" s="41" t="str">
        <f t="shared" si="1"/>
        <v>土</v>
      </c>
      <c r="C71" s="41">
        <f>ROUNDUP((A71-'01_習慣設計'!$B$6+1)/7,0)</f>
        <v>9</v>
      </c>
      <c r="D71" s="41">
        <f>(YEAR(A71)-YEAR('01_習慣設計'!$B$6))*12+MONTH(A71)-MONTH('01_習慣設計'!$B$6)+1</f>
        <v>2</v>
      </c>
      <c r="E71" s="12"/>
      <c r="F71" s="3"/>
      <c r="G71" s="3"/>
      <c r="H71" s="41">
        <f t="shared" si="2"/>
        <v>0</v>
      </c>
    </row>
    <row r="72" ht="21.75" customHeight="1">
      <c r="A72" s="40">
        <v>46264.0</v>
      </c>
      <c r="B72" s="41" t="str">
        <f t="shared" si="1"/>
        <v>日</v>
      </c>
      <c r="C72" s="41">
        <f>ROUNDUP((A72-'01_習慣設計'!$B$6+1)/7,0)</f>
        <v>9</v>
      </c>
      <c r="D72" s="41">
        <f>(YEAR(A72)-YEAR('01_習慣設計'!$B$6))*12+MONTH(A72)-MONTH('01_習慣設計'!$B$6)+1</f>
        <v>2</v>
      </c>
      <c r="E72" s="12"/>
      <c r="F72" s="3"/>
      <c r="G72" s="3"/>
      <c r="H72" s="41">
        <f t="shared" si="2"/>
        <v>0</v>
      </c>
    </row>
    <row r="73" ht="21.75" customHeight="1">
      <c r="A73" s="40">
        <v>46265.0</v>
      </c>
      <c r="B73" s="41" t="str">
        <f t="shared" si="1"/>
        <v>月</v>
      </c>
      <c r="C73" s="41">
        <f>ROUNDUP((A73-'01_習慣設計'!$B$6+1)/7,0)</f>
        <v>9</v>
      </c>
      <c r="D73" s="41">
        <f>(YEAR(A73)-YEAR('01_習慣設計'!$B$6))*12+MONTH(A73)-MONTH('01_習慣設計'!$B$6)+1</f>
        <v>2</v>
      </c>
      <c r="E73" s="12"/>
      <c r="F73" s="3"/>
      <c r="G73" s="3"/>
      <c r="H73" s="41">
        <f t="shared" si="2"/>
        <v>0</v>
      </c>
    </row>
    <row r="74" ht="21.75" customHeight="1">
      <c r="A74" s="40">
        <v>46266.0</v>
      </c>
      <c r="B74" s="41" t="str">
        <f t="shared" si="1"/>
        <v>火</v>
      </c>
      <c r="C74" s="41">
        <f>ROUNDUP((A74-'01_習慣設計'!$B$6+1)/7,0)</f>
        <v>9</v>
      </c>
      <c r="D74" s="41">
        <f>(YEAR(A74)-YEAR('01_習慣設計'!$B$6))*12+MONTH(A74)-MONTH('01_習慣設計'!$B$6)+1</f>
        <v>3</v>
      </c>
      <c r="E74" s="12"/>
      <c r="F74" s="3"/>
      <c r="G74" s="3"/>
      <c r="H74" s="41">
        <f t="shared" si="2"/>
        <v>0</v>
      </c>
    </row>
    <row r="75" ht="21.75" customHeight="1">
      <c r="A75" s="40">
        <v>46267.0</v>
      </c>
      <c r="B75" s="41" t="str">
        <f t="shared" si="1"/>
        <v>水</v>
      </c>
      <c r="C75" s="41">
        <f>ROUNDUP((A75-'01_習慣設計'!$B$6+1)/7,0)</f>
        <v>10</v>
      </c>
      <c r="D75" s="41">
        <f>(YEAR(A75)-YEAR('01_習慣設計'!$B$6))*12+MONTH(A75)-MONTH('01_習慣設計'!$B$6)+1</f>
        <v>3</v>
      </c>
      <c r="E75" s="12"/>
      <c r="F75" s="3"/>
      <c r="G75" s="3"/>
      <c r="H75" s="41">
        <f t="shared" si="2"/>
        <v>0</v>
      </c>
    </row>
    <row r="76" ht="21.75" customHeight="1">
      <c r="A76" s="40">
        <v>46268.0</v>
      </c>
      <c r="B76" s="41" t="str">
        <f t="shared" si="1"/>
        <v>木</v>
      </c>
      <c r="C76" s="41">
        <f>ROUNDUP((A76-'01_習慣設計'!$B$6+1)/7,0)</f>
        <v>10</v>
      </c>
      <c r="D76" s="41">
        <f>(YEAR(A76)-YEAR('01_習慣設計'!$B$6))*12+MONTH(A76)-MONTH('01_習慣設計'!$B$6)+1</f>
        <v>3</v>
      </c>
      <c r="E76" s="12"/>
      <c r="F76" s="3"/>
      <c r="G76" s="3"/>
      <c r="H76" s="41">
        <f t="shared" si="2"/>
        <v>0</v>
      </c>
    </row>
    <row r="77" ht="21.75" customHeight="1">
      <c r="A77" s="40">
        <v>46269.0</v>
      </c>
      <c r="B77" s="41" t="str">
        <f t="shared" si="1"/>
        <v>金</v>
      </c>
      <c r="C77" s="41">
        <f>ROUNDUP((A77-'01_習慣設計'!$B$6+1)/7,0)</f>
        <v>10</v>
      </c>
      <c r="D77" s="41">
        <f>(YEAR(A77)-YEAR('01_習慣設計'!$B$6))*12+MONTH(A77)-MONTH('01_習慣設計'!$B$6)+1</f>
        <v>3</v>
      </c>
      <c r="E77" s="12"/>
      <c r="F77" s="3"/>
      <c r="G77" s="3"/>
      <c r="H77" s="41">
        <f t="shared" si="2"/>
        <v>0</v>
      </c>
    </row>
    <row r="78" ht="21.75" customHeight="1">
      <c r="A78" s="40">
        <v>46270.0</v>
      </c>
      <c r="B78" s="41" t="str">
        <f t="shared" si="1"/>
        <v>土</v>
      </c>
      <c r="C78" s="41">
        <f>ROUNDUP((A78-'01_習慣設計'!$B$6+1)/7,0)</f>
        <v>10</v>
      </c>
      <c r="D78" s="41">
        <f>(YEAR(A78)-YEAR('01_習慣設計'!$B$6))*12+MONTH(A78)-MONTH('01_習慣設計'!$B$6)+1</f>
        <v>3</v>
      </c>
      <c r="E78" s="12"/>
      <c r="F78" s="3"/>
      <c r="G78" s="3"/>
      <c r="H78" s="41">
        <f t="shared" si="2"/>
        <v>0</v>
      </c>
    </row>
    <row r="79" ht="21.75" customHeight="1">
      <c r="A79" s="40">
        <v>46271.0</v>
      </c>
      <c r="B79" s="41" t="str">
        <f t="shared" si="1"/>
        <v>日</v>
      </c>
      <c r="C79" s="41">
        <f>ROUNDUP((A79-'01_習慣設計'!$B$6+1)/7,0)</f>
        <v>10</v>
      </c>
      <c r="D79" s="41">
        <f>(YEAR(A79)-YEAR('01_習慣設計'!$B$6))*12+MONTH(A79)-MONTH('01_習慣設計'!$B$6)+1</f>
        <v>3</v>
      </c>
      <c r="E79" s="12"/>
      <c r="F79" s="3"/>
      <c r="G79" s="3"/>
      <c r="H79" s="41">
        <f t="shared" si="2"/>
        <v>0</v>
      </c>
    </row>
    <row r="80" ht="21.75" customHeight="1">
      <c r="A80" s="40">
        <v>46272.0</v>
      </c>
      <c r="B80" s="41" t="str">
        <f t="shared" si="1"/>
        <v>月</v>
      </c>
      <c r="C80" s="41">
        <f>ROUNDUP((A80-'01_習慣設計'!$B$6+1)/7,0)</f>
        <v>10</v>
      </c>
      <c r="D80" s="41">
        <f>(YEAR(A80)-YEAR('01_習慣設計'!$B$6))*12+MONTH(A80)-MONTH('01_習慣設計'!$B$6)+1</f>
        <v>3</v>
      </c>
      <c r="E80" s="12"/>
      <c r="F80" s="3"/>
      <c r="G80" s="3"/>
      <c r="H80" s="41">
        <f t="shared" si="2"/>
        <v>0</v>
      </c>
    </row>
    <row r="81" ht="21.75" customHeight="1">
      <c r="A81" s="40">
        <v>46273.0</v>
      </c>
      <c r="B81" s="41" t="str">
        <f t="shared" si="1"/>
        <v>火</v>
      </c>
      <c r="C81" s="41">
        <f>ROUNDUP((A81-'01_習慣設計'!$B$6+1)/7,0)</f>
        <v>10</v>
      </c>
      <c r="D81" s="41">
        <f>(YEAR(A81)-YEAR('01_習慣設計'!$B$6))*12+MONTH(A81)-MONTH('01_習慣設計'!$B$6)+1</f>
        <v>3</v>
      </c>
      <c r="E81" s="12"/>
      <c r="F81" s="3"/>
      <c r="G81" s="3"/>
      <c r="H81" s="41">
        <f t="shared" si="2"/>
        <v>0</v>
      </c>
    </row>
    <row r="82" ht="21.75" customHeight="1">
      <c r="A82" s="40">
        <v>46274.0</v>
      </c>
      <c r="B82" s="41" t="str">
        <f t="shared" si="1"/>
        <v>水</v>
      </c>
      <c r="C82" s="41">
        <f>ROUNDUP((A82-'01_習慣設計'!$B$6+1)/7,0)</f>
        <v>11</v>
      </c>
      <c r="D82" s="41">
        <f>(YEAR(A82)-YEAR('01_習慣設計'!$B$6))*12+MONTH(A82)-MONTH('01_習慣設計'!$B$6)+1</f>
        <v>3</v>
      </c>
      <c r="E82" s="12"/>
      <c r="F82" s="3"/>
      <c r="G82" s="3"/>
      <c r="H82" s="41">
        <f t="shared" si="2"/>
        <v>0</v>
      </c>
    </row>
    <row r="83" ht="21.75" customHeight="1">
      <c r="A83" s="40">
        <v>46275.0</v>
      </c>
      <c r="B83" s="41" t="str">
        <f t="shared" si="1"/>
        <v>木</v>
      </c>
      <c r="C83" s="41">
        <f>ROUNDUP((A83-'01_習慣設計'!$B$6+1)/7,0)</f>
        <v>11</v>
      </c>
      <c r="D83" s="41">
        <f>(YEAR(A83)-YEAR('01_習慣設計'!$B$6))*12+MONTH(A83)-MONTH('01_習慣設計'!$B$6)+1</f>
        <v>3</v>
      </c>
      <c r="E83" s="12"/>
      <c r="F83" s="3"/>
      <c r="G83" s="3"/>
      <c r="H83" s="41">
        <f t="shared" si="2"/>
        <v>0</v>
      </c>
    </row>
    <row r="84" ht="21.75" customHeight="1">
      <c r="A84" s="40">
        <v>46276.0</v>
      </c>
      <c r="B84" s="41" t="str">
        <f t="shared" si="1"/>
        <v>金</v>
      </c>
      <c r="C84" s="41">
        <f>ROUNDUP((A84-'01_習慣設計'!$B$6+1)/7,0)</f>
        <v>11</v>
      </c>
      <c r="D84" s="41">
        <f>(YEAR(A84)-YEAR('01_習慣設計'!$B$6))*12+MONTH(A84)-MONTH('01_習慣設計'!$B$6)+1</f>
        <v>3</v>
      </c>
      <c r="E84" s="12"/>
      <c r="F84" s="3"/>
      <c r="G84" s="3"/>
      <c r="H84" s="41">
        <f t="shared" si="2"/>
        <v>0</v>
      </c>
    </row>
    <row r="85" ht="21.75" customHeight="1">
      <c r="A85" s="40">
        <v>46277.0</v>
      </c>
      <c r="B85" s="41" t="str">
        <f t="shared" si="1"/>
        <v>土</v>
      </c>
      <c r="C85" s="41">
        <f>ROUNDUP((A85-'01_習慣設計'!$B$6+1)/7,0)</f>
        <v>11</v>
      </c>
      <c r="D85" s="41">
        <f>(YEAR(A85)-YEAR('01_習慣設計'!$B$6))*12+MONTH(A85)-MONTH('01_習慣設計'!$B$6)+1</f>
        <v>3</v>
      </c>
      <c r="E85" s="12"/>
      <c r="F85" s="3"/>
      <c r="G85" s="3"/>
      <c r="H85" s="41">
        <f t="shared" si="2"/>
        <v>0</v>
      </c>
    </row>
    <row r="86" ht="21.75" customHeight="1">
      <c r="A86" s="40">
        <v>46278.0</v>
      </c>
      <c r="B86" s="41" t="str">
        <f t="shared" si="1"/>
        <v>日</v>
      </c>
      <c r="C86" s="41">
        <f>ROUNDUP((A86-'01_習慣設計'!$B$6+1)/7,0)</f>
        <v>11</v>
      </c>
      <c r="D86" s="41">
        <f>(YEAR(A86)-YEAR('01_習慣設計'!$B$6))*12+MONTH(A86)-MONTH('01_習慣設計'!$B$6)+1</f>
        <v>3</v>
      </c>
      <c r="E86" s="12"/>
      <c r="F86" s="3"/>
      <c r="G86" s="3"/>
      <c r="H86" s="41">
        <f t="shared" si="2"/>
        <v>0</v>
      </c>
    </row>
    <row r="87" ht="21.75" customHeight="1">
      <c r="A87" s="40">
        <v>46279.0</v>
      </c>
      <c r="B87" s="41" t="str">
        <f t="shared" si="1"/>
        <v>月</v>
      </c>
      <c r="C87" s="41">
        <f>ROUNDUP((A87-'01_習慣設計'!$B$6+1)/7,0)</f>
        <v>11</v>
      </c>
      <c r="D87" s="41">
        <f>(YEAR(A87)-YEAR('01_習慣設計'!$B$6))*12+MONTH(A87)-MONTH('01_習慣設計'!$B$6)+1</f>
        <v>3</v>
      </c>
      <c r="E87" s="12"/>
      <c r="F87" s="3"/>
      <c r="G87" s="3"/>
      <c r="H87" s="41">
        <f t="shared" si="2"/>
        <v>0</v>
      </c>
    </row>
    <row r="88" ht="21.75" customHeight="1">
      <c r="A88" s="40">
        <v>46280.0</v>
      </c>
      <c r="B88" s="41" t="str">
        <f t="shared" si="1"/>
        <v>火</v>
      </c>
      <c r="C88" s="41">
        <f>ROUNDUP((A88-'01_習慣設計'!$B$6+1)/7,0)</f>
        <v>11</v>
      </c>
      <c r="D88" s="41">
        <f>(YEAR(A88)-YEAR('01_習慣設計'!$B$6))*12+MONTH(A88)-MONTH('01_習慣設計'!$B$6)+1</f>
        <v>3</v>
      </c>
      <c r="E88" s="12"/>
      <c r="F88" s="3"/>
      <c r="G88" s="3"/>
      <c r="H88" s="41">
        <f t="shared" si="2"/>
        <v>0</v>
      </c>
    </row>
    <row r="89" ht="21.75" customHeight="1">
      <c r="A89" s="40">
        <v>46281.0</v>
      </c>
      <c r="B89" s="41" t="str">
        <f t="shared" si="1"/>
        <v>水</v>
      </c>
      <c r="C89" s="41">
        <f>ROUNDUP((A89-'01_習慣設計'!$B$6+1)/7,0)</f>
        <v>12</v>
      </c>
      <c r="D89" s="41">
        <f>(YEAR(A89)-YEAR('01_習慣設計'!$B$6))*12+MONTH(A89)-MONTH('01_習慣設計'!$B$6)+1</f>
        <v>3</v>
      </c>
      <c r="E89" s="12"/>
      <c r="F89" s="3"/>
      <c r="G89" s="3"/>
      <c r="H89" s="41">
        <f t="shared" si="2"/>
        <v>0</v>
      </c>
    </row>
    <row r="90" ht="21.75" customHeight="1">
      <c r="A90" s="40">
        <v>46282.0</v>
      </c>
      <c r="B90" s="41" t="str">
        <f t="shared" si="1"/>
        <v>木</v>
      </c>
      <c r="C90" s="41">
        <f>ROUNDUP((A90-'01_習慣設計'!$B$6+1)/7,0)</f>
        <v>12</v>
      </c>
      <c r="D90" s="41">
        <f>(YEAR(A90)-YEAR('01_習慣設計'!$B$6))*12+MONTH(A90)-MONTH('01_習慣設計'!$B$6)+1</f>
        <v>3</v>
      </c>
      <c r="E90" s="12"/>
      <c r="F90" s="3"/>
      <c r="G90" s="3"/>
      <c r="H90" s="41">
        <f t="shared" si="2"/>
        <v>0</v>
      </c>
    </row>
    <row r="91" ht="21.75" customHeight="1">
      <c r="A91" s="40">
        <v>46283.0</v>
      </c>
      <c r="B91" s="41" t="str">
        <f t="shared" si="1"/>
        <v>金</v>
      </c>
      <c r="C91" s="41">
        <f>ROUNDUP((A91-'01_習慣設計'!$B$6+1)/7,0)</f>
        <v>12</v>
      </c>
      <c r="D91" s="41">
        <f>(YEAR(A91)-YEAR('01_習慣設計'!$B$6))*12+MONTH(A91)-MONTH('01_習慣設計'!$B$6)+1</f>
        <v>3</v>
      </c>
      <c r="E91" s="12"/>
      <c r="F91" s="3"/>
      <c r="G91" s="3"/>
      <c r="H91" s="41">
        <f t="shared" si="2"/>
        <v>0</v>
      </c>
    </row>
    <row r="92" ht="21.75" customHeight="1">
      <c r="A92" s="40">
        <v>46284.0</v>
      </c>
      <c r="B92" s="41" t="str">
        <f t="shared" si="1"/>
        <v>土</v>
      </c>
      <c r="C92" s="41">
        <f>ROUNDUP((A92-'01_習慣設計'!$B$6+1)/7,0)</f>
        <v>12</v>
      </c>
      <c r="D92" s="41">
        <f>(YEAR(A92)-YEAR('01_習慣設計'!$B$6))*12+MONTH(A92)-MONTH('01_習慣設計'!$B$6)+1</f>
        <v>3</v>
      </c>
      <c r="E92" s="12"/>
      <c r="F92" s="3"/>
      <c r="G92" s="3"/>
      <c r="H92" s="41">
        <f t="shared" si="2"/>
        <v>0</v>
      </c>
    </row>
    <row r="93" ht="21.75" customHeight="1">
      <c r="A93" s="40">
        <v>46285.0</v>
      </c>
      <c r="B93" s="41" t="str">
        <f t="shared" si="1"/>
        <v>日</v>
      </c>
      <c r="C93" s="41">
        <f>ROUNDUP((A93-'01_習慣設計'!$B$6+1)/7,0)</f>
        <v>12</v>
      </c>
      <c r="D93" s="41">
        <f>(YEAR(A93)-YEAR('01_習慣設計'!$B$6))*12+MONTH(A93)-MONTH('01_習慣設計'!$B$6)+1</f>
        <v>3</v>
      </c>
      <c r="E93" s="12"/>
      <c r="F93" s="3"/>
      <c r="G93" s="3"/>
      <c r="H93" s="41">
        <f t="shared" si="2"/>
        <v>0</v>
      </c>
    </row>
    <row r="94" ht="21.75" customHeight="1">
      <c r="A94" s="40">
        <v>46286.0</v>
      </c>
      <c r="B94" s="41" t="str">
        <f t="shared" si="1"/>
        <v>月</v>
      </c>
      <c r="C94" s="41">
        <f>ROUNDUP((A94-'01_習慣設計'!$B$6+1)/7,0)</f>
        <v>12</v>
      </c>
      <c r="D94" s="41">
        <f>(YEAR(A94)-YEAR('01_習慣設計'!$B$6))*12+MONTH(A94)-MONTH('01_習慣設計'!$B$6)+1</f>
        <v>3</v>
      </c>
      <c r="E94" s="12"/>
      <c r="F94" s="3"/>
      <c r="G94" s="3"/>
      <c r="H94" s="41">
        <f t="shared" si="2"/>
        <v>0</v>
      </c>
    </row>
    <row r="95" ht="21.75" customHeight="1">
      <c r="A95" s="40">
        <v>46287.0</v>
      </c>
      <c r="B95" s="41" t="str">
        <f t="shared" si="1"/>
        <v>火</v>
      </c>
      <c r="C95" s="41">
        <f>ROUNDUP((A95-'01_習慣設計'!$B$6+1)/7,0)</f>
        <v>12</v>
      </c>
      <c r="D95" s="41">
        <f>(YEAR(A95)-YEAR('01_習慣設計'!$B$6))*12+MONTH(A95)-MONTH('01_習慣設計'!$B$6)+1</f>
        <v>3</v>
      </c>
      <c r="E95" s="12"/>
      <c r="F95" s="3"/>
      <c r="G95" s="3"/>
      <c r="H95" s="41">
        <f t="shared" si="2"/>
        <v>0</v>
      </c>
    </row>
    <row r="96" ht="21.75" customHeight="1">
      <c r="A96" s="40">
        <v>46288.0</v>
      </c>
      <c r="B96" s="41" t="str">
        <f t="shared" si="1"/>
        <v>水</v>
      </c>
      <c r="C96" s="41">
        <f>ROUNDUP((A96-'01_習慣設計'!$B$6+1)/7,0)</f>
        <v>13</v>
      </c>
      <c r="D96" s="41">
        <f>(YEAR(A96)-YEAR('01_習慣設計'!$B$6))*12+MONTH(A96)-MONTH('01_習慣設計'!$B$6)+1</f>
        <v>3</v>
      </c>
      <c r="E96" s="12"/>
      <c r="F96" s="3"/>
      <c r="G96" s="3"/>
      <c r="H96" s="41">
        <f t="shared" si="2"/>
        <v>0</v>
      </c>
    </row>
    <row r="97" ht="21.75" customHeight="1">
      <c r="A97" s="40">
        <v>46289.0</v>
      </c>
      <c r="B97" s="41" t="str">
        <f t="shared" si="1"/>
        <v>木</v>
      </c>
      <c r="C97" s="41">
        <f>ROUNDUP((A97-'01_習慣設計'!$B$6+1)/7,0)</f>
        <v>13</v>
      </c>
      <c r="D97" s="41">
        <f>(YEAR(A97)-YEAR('01_習慣設計'!$B$6))*12+MONTH(A97)-MONTH('01_習慣設計'!$B$6)+1</f>
        <v>3</v>
      </c>
      <c r="E97" s="12"/>
      <c r="F97" s="3"/>
      <c r="G97" s="3"/>
      <c r="H97" s="41">
        <f t="shared" si="2"/>
        <v>0</v>
      </c>
    </row>
    <row r="98" ht="21.75" customHeight="1">
      <c r="A98" s="40">
        <v>46290.0</v>
      </c>
      <c r="B98" s="41" t="str">
        <f t="shared" si="1"/>
        <v>金</v>
      </c>
      <c r="C98" s="41">
        <f>ROUNDUP((A98-'01_習慣設計'!$B$6+1)/7,0)</f>
        <v>13</v>
      </c>
      <c r="D98" s="41">
        <f>(YEAR(A98)-YEAR('01_習慣設計'!$B$6))*12+MONTH(A98)-MONTH('01_習慣設計'!$B$6)+1</f>
        <v>3</v>
      </c>
      <c r="E98" s="12"/>
      <c r="F98" s="3"/>
      <c r="G98" s="3"/>
      <c r="H98" s="41">
        <f t="shared" si="2"/>
        <v>0</v>
      </c>
    </row>
    <row r="99" ht="21.75" customHeight="1">
      <c r="A99" s="40">
        <v>46291.0</v>
      </c>
      <c r="B99" s="41" t="str">
        <f t="shared" si="1"/>
        <v>土</v>
      </c>
      <c r="C99" s="41">
        <f>ROUNDUP((A99-'01_習慣設計'!$B$6+1)/7,0)</f>
        <v>13</v>
      </c>
      <c r="D99" s="41">
        <f>(YEAR(A99)-YEAR('01_習慣設計'!$B$6))*12+MONTH(A99)-MONTH('01_習慣設計'!$B$6)+1</f>
        <v>3</v>
      </c>
      <c r="E99" s="12"/>
      <c r="F99" s="3"/>
      <c r="G99" s="3"/>
      <c r="H99" s="41">
        <f t="shared" si="2"/>
        <v>0</v>
      </c>
    </row>
    <row r="100" ht="21.75" customHeight="1">
      <c r="A100" s="40">
        <v>46292.0</v>
      </c>
      <c r="B100" s="41" t="str">
        <f t="shared" si="1"/>
        <v>日</v>
      </c>
      <c r="C100" s="41">
        <f>ROUNDUP((A100-'01_習慣設計'!$B$6+1)/7,0)</f>
        <v>13</v>
      </c>
      <c r="D100" s="41">
        <f>(YEAR(A100)-YEAR('01_習慣設計'!$B$6))*12+MONTH(A100)-MONTH('01_習慣設計'!$B$6)+1</f>
        <v>3</v>
      </c>
      <c r="E100" s="12"/>
      <c r="F100" s="3"/>
      <c r="G100" s="3"/>
      <c r="H100" s="41">
        <f t="shared" si="2"/>
        <v>0</v>
      </c>
    </row>
    <row r="101" ht="21.75" customHeight="1">
      <c r="A101" s="40">
        <v>46293.0</v>
      </c>
      <c r="B101" s="41" t="str">
        <f t="shared" si="1"/>
        <v>月</v>
      </c>
      <c r="C101" s="41">
        <f>ROUNDUP((A101-'01_習慣設計'!$B$6+1)/7,0)</f>
        <v>13</v>
      </c>
      <c r="D101" s="41">
        <f>(YEAR(A101)-YEAR('01_習慣設計'!$B$6))*12+MONTH(A101)-MONTH('01_習慣設計'!$B$6)+1</f>
        <v>3</v>
      </c>
      <c r="E101" s="12"/>
      <c r="F101" s="3"/>
      <c r="G101" s="3"/>
      <c r="H101" s="41">
        <f t="shared" si="2"/>
        <v>0</v>
      </c>
    </row>
    <row r="102" ht="21.75" customHeight="1">
      <c r="A102" s="40">
        <v>46294.0</v>
      </c>
      <c r="B102" s="41" t="str">
        <f t="shared" si="1"/>
        <v>火</v>
      </c>
      <c r="C102" s="41">
        <f>ROUNDUP((A102-'01_習慣設計'!$B$6+1)/7,0)</f>
        <v>13</v>
      </c>
      <c r="D102" s="41">
        <f>(YEAR(A102)-YEAR('01_習慣設計'!$B$6))*12+MONTH(A102)-MONTH('01_習慣設計'!$B$6)+1</f>
        <v>3</v>
      </c>
      <c r="E102" s="12"/>
      <c r="F102" s="3"/>
      <c r="G102" s="3"/>
      <c r="H102" s="41">
        <f t="shared" si="2"/>
        <v>0</v>
      </c>
    </row>
    <row r="103" ht="21.75" customHeight="1">
      <c r="A103" s="40">
        <v>46295.0</v>
      </c>
      <c r="B103" s="41" t="str">
        <f t="shared" si="1"/>
        <v>水</v>
      </c>
      <c r="C103" s="41">
        <f>ROUNDUP((A103-'01_習慣設計'!$B$6+1)/7,0)</f>
        <v>14</v>
      </c>
      <c r="D103" s="41">
        <f>(YEAR(A103)-YEAR('01_習慣設計'!$B$6))*12+MONTH(A103)-MONTH('01_習慣設計'!$B$6)+1</f>
        <v>3</v>
      </c>
      <c r="E103" s="12"/>
      <c r="F103" s="3"/>
      <c r="G103" s="3"/>
      <c r="H103" s="41">
        <f t="shared" si="2"/>
        <v>0</v>
      </c>
    </row>
    <row r="104" ht="21.75" customHeight="1">
      <c r="A104" s="40">
        <v>46296.0</v>
      </c>
      <c r="B104" s="41" t="str">
        <f t="shared" si="1"/>
        <v>木</v>
      </c>
      <c r="C104" s="41">
        <f>ROUNDUP((A104-'01_習慣設計'!$B$6+1)/7,0)</f>
        <v>14</v>
      </c>
      <c r="D104" s="41">
        <f>(YEAR(A104)-YEAR('01_習慣設計'!$B$6))*12+MONTH(A104)-MONTH('01_習慣設計'!$B$6)+1</f>
        <v>4</v>
      </c>
      <c r="E104" s="12"/>
      <c r="F104" s="3"/>
      <c r="G104" s="3"/>
      <c r="H104" s="41">
        <f t="shared" si="2"/>
        <v>0</v>
      </c>
    </row>
    <row r="105" ht="21.75" customHeight="1">
      <c r="A105" s="40">
        <v>46297.0</v>
      </c>
      <c r="B105" s="41" t="str">
        <f t="shared" si="1"/>
        <v>金</v>
      </c>
      <c r="C105" s="41">
        <f>ROUNDUP((A105-'01_習慣設計'!$B$6+1)/7,0)</f>
        <v>14</v>
      </c>
      <c r="D105" s="41">
        <f>(YEAR(A105)-YEAR('01_習慣設計'!$B$6))*12+MONTH(A105)-MONTH('01_習慣設計'!$B$6)+1</f>
        <v>4</v>
      </c>
      <c r="E105" s="12"/>
      <c r="F105" s="3"/>
      <c r="G105" s="3"/>
      <c r="H105" s="41">
        <f t="shared" si="2"/>
        <v>0</v>
      </c>
    </row>
    <row r="106" ht="21.75" customHeight="1">
      <c r="A106" s="40">
        <v>46298.0</v>
      </c>
      <c r="B106" s="41" t="str">
        <f t="shared" si="1"/>
        <v>土</v>
      </c>
      <c r="C106" s="41">
        <f>ROUNDUP((A106-'01_習慣設計'!$B$6+1)/7,0)</f>
        <v>14</v>
      </c>
      <c r="D106" s="41">
        <f>(YEAR(A106)-YEAR('01_習慣設計'!$B$6))*12+MONTH(A106)-MONTH('01_習慣設計'!$B$6)+1</f>
        <v>4</v>
      </c>
      <c r="E106" s="12"/>
      <c r="F106" s="3"/>
      <c r="G106" s="3"/>
      <c r="H106" s="41">
        <f t="shared" si="2"/>
        <v>0</v>
      </c>
    </row>
    <row r="107" ht="21.75" customHeight="1">
      <c r="A107" s="40">
        <v>46299.0</v>
      </c>
      <c r="B107" s="41" t="str">
        <f t="shared" si="1"/>
        <v>日</v>
      </c>
      <c r="C107" s="41">
        <f>ROUNDUP((A107-'01_習慣設計'!$B$6+1)/7,0)</f>
        <v>14</v>
      </c>
      <c r="D107" s="41">
        <f>(YEAR(A107)-YEAR('01_習慣設計'!$B$6))*12+MONTH(A107)-MONTH('01_習慣設計'!$B$6)+1</f>
        <v>4</v>
      </c>
      <c r="E107" s="12"/>
      <c r="F107" s="3"/>
      <c r="G107" s="3"/>
      <c r="H107" s="41">
        <f t="shared" si="2"/>
        <v>0</v>
      </c>
    </row>
    <row r="108" ht="21.75" customHeight="1">
      <c r="A108" s="40">
        <v>46300.0</v>
      </c>
      <c r="B108" s="41" t="str">
        <f t="shared" si="1"/>
        <v>月</v>
      </c>
      <c r="C108" s="41">
        <f>ROUNDUP((A108-'01_習慣設計'!$B$6+1)/7,0)</f>
        <v>14</v>
      </c>
      <c r="D108" s="41">
        <f>(YEAR(A108)-YEAR('01_習慣設計'!$B$6))*12+MONTH(A108)-MONTH('01_習慣設計'!$B$6)+1</f>
        <v>4</v>
      </c>
      <c r="E108" s="12"/>
      <c r="F108" s="3"/>
      <c r="G108" s="3"/>
      <c r="H108" s="41">
        <f t="shared" si="2"/>
        <v>0</v>
      </c>
    </row>
    <row r="109" ht="21.75" customHeight="1">
      <c r="A109" s="40">
        <v>46301.0</v>
      </c>
      <c r="B109" s="41" t="str">
        <f t="shared" si="1"/>
        <v>火</v>
      </c>
      <c r="C109" s="41">
        <f>ROUNDUP((A109-'01_習慣設計'!$B$6+1)/7,0)</f>
        <v>14</v>
      </c>
      <c r="D109" s="41">
        <f>(YEAR(A109)-YEAR('01_習慣設計'!$B$6))*12+MONTH(A109)-MONTH('01_習慣設計'!$B$6)+1</f>
        <v>4</v>
      </c>
      <c r="E109" s="12"/>
      <c r="F109" s="3"/>
      <c r="G109" s="3"/>
      <c r="H109" s="41">
        <f t="shared" si="2"/>
        <v>0</v>
      </c>
    </row>
    <row r="110" ht="21.75" customHeight="1">
      <c r="A110" s="40">
        <v>46302.0</v>
      </c>
      <c r="B110" s="41" t="str">
        <f t="shared" si="1"/>
        <v>水</v>
      </c>
      <c r="C110" s="41">
        <f>ROUNDUP((A110-'01_習慣設計'!$B$6+1)/7,0)</f>
        <v>15</v>
      </c>
      <c r="D110" s="41">
        <f>(YEAR(A110)-YEAR('01_習慣設計'!$B$6))*12+MONTH(A110)-MONTH('01_習慣設計'!$B$6)+1</f>
        <v>4</v>
      </c>
      <c r="E110" s="12"/>
      <c r="F110" s="3"/>
      <c r="G110" s="3"/>
      <c r="H110" s="41">
        <f t="shared" si="2"/>
        <v>0</v>
      </c>
    </row>
    <row r="111" ht="21.75" customHeight="1">
      <c r="A111" s="40">
        <v>46303.0</v>
      </c>
      <c r="B111" s="41" t="str">
        <f t="shared" si="1"/>
        <v>木</v>
      </c>
      <c r="C111" s="41">
        <f>ROUNDUP((A111-'01_習慣設計'!$B$6+1)/7,0)</f>
        <v>15</v>
      </c>
      <c r="D111" s="41">
        <f>(YEAR(A111)-YEAR('01_習慣設計'!$B$6))*12+MONTH(A111)-MONTH('01_習慣設計'!$B$6)+1</f>
        <v>4</v>
      </c>
      <c r="E111" s="12"/>
      <c r="F111" s="3"/>
      <c r="G111" s="3"/>
      <c r="H111" s="41">
        <f t="shared" si="2"/>
        <v>0</v>
      </c>
    </row>
    <row r="112" ht="21.75" customHeight="1">
      <c r="A112" s="40">
        <v>46304.0</v>
      </c>
      <c r="B112" s="41" t="str">
        <f t="shared" si="1"/>
        <v>金</v>
      </c>
      <c r="C112" s="41">
        <f>ROUNDUP((A112-'01_習慣設計'!$B$6+1)/7,0)</f>
        <v>15</v>
      </c>
      <c r="D112" s="41">
        <f>(YEAR(A112)-YEAR('01_習慣設計'!$B$6))*12+MONTH(A112)-MONTH('01_習慣設計'!$B$6)+1</f>
        <v>4</v>
      </c>
      <c r="E112" s="12"/>
      <c r="F112" s="3"/>
      <c r="G112" s="3"/>
      <c r="H112" s="41">
        <f t="shared" si="2"/>
        <v>0</v>
      </c>
    </row>
    <row r="113" ht="21.75" customHeight="1">
      <c r="A113" s="40">
        <v>46305.0</v>
      </c>
      <c r="B113" s="41" t="str">
        <f t="shared" si="1"/>
        <v>土</v>
      </c>
      <c r="C113" s="41">
        <f>ROUNDUP((A113-'01_習慣設計'!$B$6+1)/7,0)</f>
        <v>15</v>
      </c>
      <c r="D113" s="41">
        <f>(YEAR(A113)-YEAR('01_習慣設計'!$B$6))*12+MONTH(A113)-MONTH('01_習慣設計'!$B$6)+1</f>
        <v>4</v>
      </c>
      <c r="E113" s="12"/>
      <c r="F113" s="3"/>
      <c r="G113" s="3"/>
      <c r="H113" s="41">
        <f t="shared" si="2"/>
        <v>0</v>
      </c>
    </row>
    <row r="114" ht="21.75" customHeight="1">
      <c r="A114" s="40">
        <v>46306.0</v>
      </c>
      <c r="B114" s="41" t="str">
        <f t="shared" si="1"/>
        <v>日</v>
      </c>
      <c r="C114" s="41">
        <f>ROUNDUP((A114-'01_習慣設計'!$B$6+1)/7,0)</f>
        <v>15</v>
      </c>
      <c r="D114" s="41">
        <f>(YEAR(A114)-YEAR('01_習慣設計'!$B$6))*12+MONTH(A114)-MONTH('01_習慣設計'!$B$6)+1</f>
        <v>4</v>
      </c>
      <c r="E114" s="12"/>
      <c r="F114" s="3"/>
      <c r="G114" s="3"/>
      <c r="H114" s="41">
        <f t="shared" si="2"/>
        <v>0</v>
      </c>
    </row>
    <row r="115" ht="21.75" customHeight="1">
      <c r="A115" s="40">
        <v>46307.0</v>
      </c>
      <c r="B115" s="41" t="str">
        <f t="shared" si="1"/>
        <v>月</v>
      </c>
      <c r="C115" s="41">
        <f>ROUNDUP((A115-'01_習慣設計'!$B$6+1)/7,0)</f>
        <v>15</v>
      </c>
      <c r="D115" s="41">
        <f>(YEAR(A115)-YEAR('01_習慣設計'!$B$6))*12+MONTH(A115)-MONTH('01_習慣設計'!$B$6)+1</f>
        <v>4</v>
      </c>
      <c r="E115" s="12"/>
      <c r="F115" s="3"/>
      <c r="G115" s="3"/>
      <c r="H115" s="41">
        <f t="shared" si="2"/>
        <v>0</v>
      </c>
    </row>
    <row r="116" ht="21.75" customHeight="1">
      <c r="A116" s="40">
        <v>46308.0</v>
      </c>
      <c r="B116" s="41" t="str">
        <f t="shared" si="1"/>
        <v>火</v>
      </c>
      <c r="C116" s="41">
        <f>ROUNDUP((A116-'01_習慣設計'!$B$6+1)/7,0)</f>
        <v>15</v>
      </c>
      <c r="D116" s="41">
        <f>(YEAR(A116)-YEAR('01_習慣設計'!$B$6))*12+MONTH(A116)-MONTH('01_習慣設計'!$B$6)+1</f>
        <v>4</v>
      </c>
      <c r="E116" s="12"/>
      <c r="F116" s="3"/>
      <c r="G116" s="3"/>
      <c r="H116" s="41">
        <f t="shared" si="2"/>
        <v>0</v>
      </c>
    </row>
    <row r="117" ht="21.75" customHeight="1">
      <c r="A117" s="40">
        <v>46309.0</v>
      </c>
      <c r="B117" s="41" t="str">
        <f t="shared" si="1"/>
        <v>水</v>
      </c>
      <c r="C117" s="41">
        <f>ROUNDUP((A117-'01_習慣設計'!$B$6+1)/7,0)</f>
        <v>16</v>
      </c>
      <c r="D117" s="41">
        <f>(YEAR(A117)-YEAR('01_習慣設計'!$B$6))*12+MONTH(A117)-MONTH('01_習慣設計'!$B$6)+1</f>
        <v>4</v>
      </c>
      <c r="E117" s="12"/>
      <c r="F117" s="3"/>
      <c r="G117" s="3"/>
      <c r="H117" s="41">
        <f t="shared" si="2"/>
        <v>0</v>
      </c>
    </row>
    <row r="118" ht="21.75" customHeight="1">
      <c r="A118" s="40">
        <v>46310.0</v>
      </c>
      <c r="B118" s="41" t="str">
        <f t="shared" si="1"/>
        <v>木</v>
      </c>
      <c r="C118" s="41">
        <f>ROUNDUP((A118-'01_習慣設計'!$B$6+1)/7,0)</f>
        <v>16</v>
      </c>
      <c r="D118" s="41">
        <f>(YEAR(A118)-YEAR('01_習慣設計'!$B$6))*12+MONTH(A118)-MONTH('01_習慣設計'!$B$6)+1</f>
        <v>4</v>
      </c>
      <c r="E118" s="12"/>
      <c r="F118" s="3"/>
      <c r="G118" s="3"/>
      <c r="H118" s="41">
        <f t="shared" si="2"/>
        <v>0</v>
      </c>
    </row>
    <row r="119" ht="21.75" customHeight="1">
      <c r="A119" s="40">
        <v>46311.0</v>
      </c>
      <c r="B119" s="41" t="str">
        <f t="shared" si="1"/>
        <v>金</v>
      </c>
      <c r="C119" s="41">
        <f>ROUNDUP((A119-'01_習慣設計'!$B$6+1)/7,0)</f>
        <v>16</v>
      </c>
      <c r="D119" s="41">
        <f>(YEAR(A119)-YEAR('01_習慣設計'!$B$6))*12+MONTH(A119)-MONTH('01_習慣設計'!$B$6)+1</f>
        <v>4</v>
      </c>
      <c r="E119" s="12"/>
      <c r="F119" s="3"/>
      <c r="G119" s="3"/>
      <c r="H119" s="41">
        <f t="shared" si="2"/>
        <v>0</v>
      </c>
    </row>
    <row r="120" ht="21.75" customHeight="1">
      <c r="A120" s="40">
        <v>46312.0</v>
      </c>
      <c r="B120" s="41" t="str">
        <f t="shared" si="1"/>
        <v>土</v>
      </c>
      <c r="C120" s="41">
        <f>ROUNDUP((A120-'01_習慣設計'!$B$6+1)/7,0)</f>
        <v>16</v>
      </c>
      <c r="D120" s="41">
        <f>(YEAR(A120)-YEAR('01_習慣設計'!$B$6))*12+MONTH(A120)-MONTH('01_習慣設計'!$B$6)+1</f>
        <v>4</v>
      </c>
      <c r="E120" s="12"/>
      <c r="F120" s="3"/>
      <c r="G120" s="3"/>
      <c r="H120" s="41">
        <f t="shared" si="2"/>
        <v>0</v>
      </c>
    </row>
    <row r="121" ht="21.75" customHeight="1">
      <c r="A121" s="40">
        <v>46313.0</v>
      </c>
      <c r="B121" s="41" t="str">
        <f t="shared" si="1"/>
        <v>日</v>
      </c>
      <c r="C121" s="41">
        <f>ROUNDUP((A121-'01_習慣設計'!$B$6+1)/7,0)</f>
        <v>16</v>
      </c>
      <c r="D121" s="41">
        <f>(YEAR(A121)-YEAR('01_習慣設計'!$B$6))*12+MONTH(A121)-MONTH('01_習慣設計'!$B$6)+1</f>
        <v>4</v>
      </c>
      <c r="E121" s="12"/>
      <c r="F121" s="3"/>
      <c r="G121" s="3"/>
      <c r="H121" s="41">
        <f t="shared" si="2"/>
        <v>0</v>
      </c>
    </row>
    <row r="122" ht="21.75" customHeight="1">
      <c r="A122" s="40">
        <v>46314.0</v>
      </c>
      <c r="B122" s="41" t="str">
        <f t="shared" si="1"/>
        <v>月</v>
      </c>
      <c r="C122" s="41">
        <f>ROUNDUP((A122-'01_習慣設計'!$B$6+1)/7,0)</f>
        <v>16</v>
      </c>
      <c r="D122" s="41">
        <f>(YEAR(A122)-YEAR('01_習慣設計'!$B$6))*12+MONTH(A122)-MONTH('01_習慣設計'!$B$6)+1</f>
        <v>4</v>
      </c>
      <c r="E122" s="12"/>
      <c r="F122" s="3"/>
      <c r="G122" s="3"/>
      <c r="H122" s="41">
        <f t="shared" si="2"/>
        <v>0</v>
      </c>
    </row>
    <row r="123" ht="21.75" customHeight="1">
      <c r="A123" s="40">
        <v>46315.0</v>
      </c>
      <c r="B123" s="41" t="str">
        <f t="shared" si="1"/>
        <v>火</v>
      </c>
      <c r="C123" s="41">
        <f>ROUNDUP((A123-'01_習慣設計'!$B$6+1)/7,0)</f>
        <v>16</v>
      </c>
      <c r="D123" s="41">
        <f>(YEAR(A123)-YEAR('01_習慣設計'!$B$6))*12+MONTH(A123)-MONTH('01_習慣設計'!$B$6)+1</f>
        <v>4</v>
      </c>
      <c r="E123" s="12"/>
      <c r="F123" s="3"/>
      <c r="G123" s="3"/>
      <c r="H123" s="41">
        <f t="shared" si="2"/>
        <v>0</v>
      </c>
    </row>
    <row r="124" ht="21.75" customHeight="1">
      <c r="A124" s="40">
        <v>46316.0</v>
      </c>
      <c r="B124" s="41" t="str">
        <f t="shared" si="1"/>
        <v>水</v>
      </c>
      <c r="C124" s="41">
        <f>ROUNDUP((A124-'01_習慣設計'!$B$6+1)/7,0)</f>
        <v>17</v>
      </c>
      <c r="D124" s="41">
        <f>(YEAR(A124)-YEAR('01_習慣設計'!$B$6))*12+MONTH(A124)-MONTH('01_習慣設計'!$B$6)+1</f>
        <v>4</v>
      </c>
      <c r="E124" s="12"/>
      <c r="F124" s="3"/>
      <c r="G124" s="3"/>
      <c r="H124" s="41">
        <f t="shared" si="2"/>
        <v>0</v>
      </c>
    </row>
    <row r="125" ht="21.75" customHeight="1">
      <c r="A125" s="40">
        <v>46317.0</v>
      </c>
      <c r="B125" s="41" t="str">
        <f t="shared" si="1"/>
        <v>木</v>
      </c>
      <c r="C125" s="41">
        <f>ROUNDUP((A125-'01_習慣設計'!$B$6+1)/7,0)</f>
        <v>17</v>
      </c>
      <c r="D125" s="41">
        <f>(YEAR(A125)-YEAR('01_習慣設計'!$B$6))*12+MONTH(A125)-MONTH('01_習慣設計'!$B$6)+1</f>
        <v>4</v>
      </c>
      <c r="E125" s="12"/>
      <c r="F125" s="3"/>
      <c r="G125" s="3"/>
      <c r="H125" s="41">
        <f t="shared" si="2"/>
        <v>0</v>
      </c>
    </row>
    <row r="126" ht="21.75" customHeight="1">
      <c r="A126" s="40">
        <v>46318.0</v>
      </c>
      <c r="B126" s="41" t="str">
        <f t="shared" si="1"/>
        <v>金</v>
      </c>
      <c r="C126" s="41">
        <f>ROUNDUP((A126-'01_習慣設計'!$B$6+1)/7,0)</f>
        <v>17</v>
      </c>
      <c r="D126" s="41">
        <f>(YEAR(A126)-YEAR('01_習慣設計'!$B$6))*12+MONTH(A126)-MONTH('01_習慣設計'!$B$6)+1</f>
        <v>4</v>
      </c>
      <c r="E126" s="12"/>
      <c r="F126" s="3"/>
      <c r="G126" s="3"/>
      <c r="H126" s="41">
        <f t="shared" si="2"/>
        <v>0</v>
      </c>
    </row>
    <row r="127" ht="21.75" customHeight="1">
      <c r="A127" s="40">
        <v>46319.0</v>
      </c>
      <c r="B127" s="41" t="str">
        <f t="shared" si="1"/>
        <v>土</v>
      </c>
      <c r="C127" s="41">
        <f>ROUNDUP((A127-'01_習慣設計'!$B$6+1)/7,0)</f>
        <v>17</v>
      </c>
      <c r="D127" s="41">
        <f>(YEAR(A127)-YEAR('01_習慣設計'!$B$6))*12+MONTH(A127)-MONTH('01_習慣設計'!$B$6)+1</f>
        <v>4</v>
      </c>
      <c r="E127" s="12"/>
      <c r="F127" s="3"/>
      <c r="G127" s="3"/>
      <c r="H127" s="41">
        <f t="shared" si="2"/>
        <v>0</v>
      </c>
    </row>
    <row r="128" ht="21.75" customHeight="1">
      <c r="A128" s="40">
        <v>46320.0</v>
      </c>
      <c r="B128" s="41" t="str">
        <f t="shared" si="1"/>
        <v>日</v>
      </c>
      <c r="C128" s="41">
        <f>ROUNDUP((A128-'01_習慣設計'!$B$6+1)/7,0)</f>
        <v>17</v>
      </c>
      <c r="D128" s="41">
        <f>(YEAR(A128)-YEAR('01_習慣設計'!$B$6))*12+MONTH(A128)-MONTH('01_習慣設計'!$B$6)+1</f>
        <v>4</v>
      </c>
      <c r="E128" s="12"/>
      <c r="F128" s="3"/>
      <c r="G128" s="3"/>
      <c r="H128" s="41">
        <f t="shared" si="2"/>
        <v>0</v>
      </c>
    </row>
    <row r="129" ht="21.75" customHeight="1">
      <c r="A129" s="40">
        <v>46321.0</v>
      </c>
      <c r="B129" s="41" t="str">
        <f t="shared" si="1"/>
        <v>月</v>
      </c>
      <c r="C129" s="41">
        <f>ROUNDUP((A129-'01_習慣設計'!$B$6+1)/7,0)</f>
        <v>17</v>
      </c>
      <c r="D129" s="41">
        <f>(YEAR(A129)-YEAR('01_習慣設計'!$B$6))*12+MONTH(A129)-MONTH('01_習慣設計'!$B$6)+1</f>
        <v>4</v>
      </c>
      <c r="E129" s="12"/>
      <c r="F129" s="3"/>
      <c r="G129" s="3"/>
      <c r="H129" s="41">
        <f t="shared" si="2"/>
        <v>0</v>
      </c>
    </row>
    <row r="130" ht="21.75" customHeight="1">
      <c r="A130" s="40">
        <v>46322.0</v>
      </c>
      <c r="B130" s="41" t="str">
        <f t="shared" si="1"/>
        <v>火</v>
      </c>
      <c r="C130" s="41">
        <f>ROUNDUP((A130-'01_習慣設計'!$B$6+1)/7,0)</f>
        <v>17</v>
      </c>
      <c r="D130" s="41">
        <f>(YEAR(A130)-YEAR('01_習慣設計'!$B$6))*12+MONTH(A130)-MONTH('01_習慣設計'!$B$6)+1</f>
        <v>4</v>
      </c>
      <c r="E130" s="12"/>
      <c r="F130" s="3"/>
      <c r="G130" s="3"/>
      <c r="H130" s="41">
        <f t="shared" si="2"/>
        <v>0</v>
      </c>
    </row>
    <row r="131" ht="21.75" customHeight="1">
      <c r="A131" s="40">
        <v>46323.0</v>
      </c>
      <c r="B131" s="41" t="str">
        <f t="shared" si="1"/>
        <v>水</v>
      </c>
      <c r="C131" s="41">
        <f>ROUNDUP((A131-'01_習慣設計'!$B$6+1)/7,0)</f>
        <v>18</v>
      </c>
      <c r="D131" s="41">
        <f>(YEAR(A131)-YEAR('01_習慣設計'!$B$6))*12+MONTH(A131)-MONTH('01_習慣設計'!$B$6)+1</f>
        <v>4</v>
      </c>
      <c r="E131" s="12"/>
      <c r="F131" s="3"/>
      <c r="G131" s="3"/>
      <c r="H131" s="41">
        <f t="shared" si="2"/>
        <v>0</v>
      </c>
    </row>
    <row r="132" ht="21.75" customHeight="1">
      <c r="A132" s="40">
        <v>46324.0</v>
      </c>
      <c r="B132" s="41" t="str">
        <f t="shared" si="1"/>
        <v>木</v>
      </c>
      <c r="C132" s="41">
        <f>ROUNDUP((A132-'01_習慣設計'!$B$6+1)/7,0)</f>
        <v>18</v>
      </c>
      <c r="D132" s="41">
        <f>(YEAR(A132)-YEAR('01_習慣設計'!$B$6))*12+MONTH(A132)-MONTH('01_習慣設計'!$B$6)+1</f>
        <v>4</v>
      </c>
      <c r="E132" s="12"/>
      <c r="F132" s="3"/>
      <c r="G132" s="3"/>
      <c r="H132" s="41">
        <f t="shared" si="2"/>
        <v>0</v>
      </c>
    </row>
    <row r="133" ht="21.75" customHeight="1">
      <c r="A133" s="40">
        <v>46325.0</v>
      </c>
      <c r="B133" s="41" t="str">
        <f t="shared" si="1"/>
        <v>金</v>
      </c>
      <c r="C133" s="41">
        <f>ROUNDUP((A133-'01_習慣設計'!$B$6+1)/7,0)</f>
        <v>18</v>
      </c>
      <c r="D133" s="41">
        <f>(YEAR(A133)-YEAR('01_習慣設計'!$B$6))*12+MONTH(A133)-MONTH('01_習慣設計'!$B$6)+1</f>
        <v>4</v>
      </c>
      <c r="E133" s="12"/>
      <c r="F133" s="3"/>
      <c r="G133" s="3"/>
      <c r="H133" s="41">
        <f t="shared" si="2"/>
        <v>0</v>
      </c>
    </row>
    <row r="134" ht="21.75" customHeight="1">
      <c r="A134" s="40">
        <v>46326.0</v>
      </c>
      <c r="B134" s="41" t="str">
        <f t="shared" si="1"/>
        <v>土</v>
      </c>
      <c r="C134" s="41">
        <f>ROUNDUP((A134-'01_習慣設計'!$B$6+1)/7,0)</f>
        <v>18</v>
      </c>
      <c r="D134" s="41">
        <f>(YEAR(A134)-YEAR('01_習慣設計'!$B$6))*12+MONTH(A134)-MONTH('01_習慣設計'!$B$6)+1</f>
        <v>4</v>
      </c>
      <c r="E134" s="12"/>
      <c r="F134" s="3"/>
      <c r="G134" s="3"/>
      <c r="H134" s="41">
        <f t="shared" si="2"/>
        <v>0</v>
      </c>
    </row>
    <row r="135" ht="21.75" customHeight="1">
      <c r="A135" s="40">
        <v>46327.0</v>
      </c>
      <c r="B135" s="41" t="str">
        <f t="shared" si="1"/>
        <v>日</v>
      </c>
      <c r="C135" s="41">
        <f>ROUNDUP((A135-'01_習慣設計'!$B$6+1)/7,0)</f>
        <v>18</v>
      </c>
      <c r="D135" s="41">
        <f>(YEAR(A135)-YEAR('01_習慣設計'!$B$6))*12+MONTH(A135)-MONTH('01_習慣設計'!$B$6)+1</f>
        <v>5</v>
      </c>
      <c r="E135" s="12"/>
      <c r="F135" s="3"/>
      <c r="G135" s="3"/>
      <c r="H135" s="41">
        <f t="shared" si="2"/>
        <v>0</v>
      </c>
    </row>
    <row r="136" ht="21.75" customHeight="1">
      <c r="A136" s="40">
        <v>46328.0</v>
      </c>
      <c r="B136" s="41" t="str">
        <f t="shared" si="1"/>
        <v>月</v>
      </c>
      <c r="C136" s="41">
        <f>ROUNDUP((A136-'01_習慣設計'!$B$6+1)/7,0)</f>
        <v>18</v>
      </c>
      <c r="D136" s="41">
        <f>(YEAR(A136)-YEAR('01_習慣設計'!$B$6))*12+MONTH(A136)-MONTH('01_習慣設計'!$B$6)+1</f>
        <v>5</v>
      </c>
      <c r="E136" s="12"/>
      <c r="F136" s="3"/>
      <c r="G136" s="3"/>
      <c r="H136" s="41">
        <f t="shared" si="2"/>
        <v>0</v>
      </c>
    </row>
    <row r="137" ht="21.75" customHeight="1">
      <c r="A137" s="40">
        <v>46329.0</v>
      </c>
      <c r="B137" s="41" t="str">
        <f t="shared" si="1"/>
        <v>火</v>
      </c>
      <c r="C137" s="41">
        <f>ROUNDUP((A137-'01_習慣設計'!$B$6+1)/7,0)</f>
        <v>18</v>
      </c>
      <c r="D137" s="41">
        <f>(YEAR(A137)-YEAR('01_習慣設計'!$B$6))*12+MONTH(A137)-MONTH('01_習慣設計'!$B$6)+1</f>
        <v>5</v>
      </c>
      <c r="E137" s="12"/>
      <c r="F137" s="3"/>
      <c r="G137" s="3"/>
      <c r="H137" s="41">
        <f t="shared" si="2"/>
        <v>0</v>
      </c>
    </row>
    <row r="138" ht="21.75" customHeight="1">
      <c r="A138" s="40">
        <v>46330.0</v>
      </c>
      <c r="B138" s="41" t="str">
        <f t="shared" si="1"/>
        <v>水</v>
      </c>
      <c r="C138" s="41">
        <f>ROUNDUP((A138-'01_習慣設計'!$B$6+1)/7,0)</f>
        <v>19</v>
      </c>
      <c r="D138" s="41">
        <f>(YEAR(A138)-YEAR('01_習慣設計'!$B$6))*12+MONTH(A138)-MONTH('01_習慣設計'!$B$6)+1</f>
        <v>5</v>
      </c>
      <c r="E138" s="12"/>
      <c r="F138" s="3"/>
      <c r="G138" s="3"/>
      <c r="H138" s="41">
        <f t="shared" si="2"/>
        <v>0</v>
      </c>
    </row>
    <row r="139" ht="21.75" customHeight="1">
      <c r="A139" s="40">
        <v>46331.0</v>
      </c>
      <c r="B139" s="41" t="str">
        <f t="shared" si="1"/>
        <v>木</v>
      </c>
      <c r="C139" s="41">
        <f>ROUNDUP((A139-'01_習慣設計'!$B$6+1)/7,0)</f>
        <v>19</v>
      </c>
      <c r="D139" s="41">
        <f>(YEAR(A139)-YEAR('01_習慣設計'!$B$6))*12+MONTH(A139)-MONTH('01_習慣設計'!$B$6)+1</f>
        <v>5</v>
      </c>
      <c r="E139" s="12"/>
      <c r="F139" s="3"/>
      <c r="G139" s="3"/>
      <c r="H139" s="41">
        <f t="shared" si="2"/>
        <v>0</v>
      </c>
    </row>
    <row r="140" ht="21.75" customHeight="1">
      <c r="A140" s="40">
        <v>46332.0</v>
      </c>
      <c r="B140" s="41" t="str">
        <f t="shared" si="1"/>
        <v>金</v>
      </c>
      <c r="C140" s="41">
        <f>ROUNDUP((A140-'01_習慣設計'!$B$6+1)/7,0)</f>
        <v>19</v>
      </c>
      <c r="D140" s="41">
        <f>(YEAR(A140)-YEAR('01_習慣設計'!$B$6))*12+MONTH(A140)-MONTH('01_習慣設計'!$B$6)+1</f>
        <v>5</v>
      </c>
      <c r="E140" s="12"/>
      <c r="F140" s="3"/>
      <c r="G140" s="3"/>
      <c r="H140" s="41">
        <f t="shared" si="2"/>
        <v>0</v>
      </c>
    </row>
    <row r="141" ht="21.75" customHeight="1">
      <c r="A141" s="40">
        <v>46333.0</v>
      </c>
      <c r="B141" s="41" t="str">
        <f t="shared" si="1"/>
        <v>土</v>
      </c>
      <c r="C141" s="41">
        <f>ROUNDUP((A141-'01_習慣設計'!$B$6+1)/7,0)</f>
        <v>19</v>
      </c>
      <c r="D141" s="41">
        <f>(YEAR(A141)-YEAR('01_習慣設計'!$B$6))*12+MONTH(A141)-MONTH('01_習慣設計'!$B$6)+1</f>
        <v>5</v>
      </c>
      <c r="E141" s="12"/>
      <c r="F141" s="3"/>
      <c r="G141" s="3"/>
      <c r="H141" s="41">
        <f t="shared" si="2"/>
        <v>0</v>
      </c>
    </row>
    <row r="142" ht="21.75" customHeight="1">
      <c r="A142" s="40">
        <v>46334.0</v>
      </c>
      <c r="B142" s="41" t="str">
        <f t="shared" si="1"/>
        <v>日</v>
      </c>
      <c r="C142" s="41">
        <f>ROUNDUP((A142-'01_習慣設計'!$B$6+1)/7,0)</f>
        <v>19</v>
      </c>
      <c r="D142" s="41">
        <f>(YEAR(A142)-YEAR('01_習慣設計'!$B$6))*12+MONTH(A142)-MONTH('01_習慣設計'!$B$6)+1</f>
        <v>5</v>
      </c>
      <c r="E142" s="12"/>
      <c r="F142" s="3"/>
      <c r="G142" s="3"/>
      <c r="H142" s="41">
        <f t="shared" si="2"/>
        <v>0</v>
      </c>
    </row>
    <row r="143" ht="21.75" customHeight="1">
      <c r="A143" s="40">
        <v>46335.0</v>
      </c>
      <c r="B143" s="41" t="str">
        <f t="shared" si="1"/>
        <v>月</v>
      </c>
      <c r="C143" s="41">
        <f>ROUNDUP((A143-'01_習慣設計'!$B$6+1)/7,0)</f>
        <v>19</v>
      </c>
      <c r="D143" s="41">
        <f>(YEAR(A143)-YEAR('01_習慣設計'!$B$6))*12+MONTH(A143)-MONTH('01_習慣設計'!$B$6)+1</f>
        <v>5</v>
      </c>
      <c r="E143" s="12"/>
      <c r="F143" s="3"/>
      <c r="G143" s="3"/>
      <c r="H143" s="41">
        <f t="shared" si="2"/>
        <v>0</v>
      </c>
    </row>
    <row r="144" ht="21.75" customHeight="1">
      <c r="A144" s="40">
        <v>46336.0</v>
      </c>
      <c r="B144" s="41" t="str">
        <f t="shared" si="1"/>
        <v>火</v>
      </c>
      <c r="C144" s="41">
        <f>ROUNDUP((A144-'01_習慣設計'!$B$6+1)/7,0)</f>
        <v>19</v>
      </c>
      <c r="D144" s="41">
        <f>(YEAR(A144)-YEAR('01_習慣設計'!$B$6))*12+MONTH(A144)-MONTH('01_習慣設計'!$B$6)+1</f>
        <v>5</v>
      </c>
      <c r="E144" s="12"/>
      <c r="F144" s="3"/>
      <c r="G144" s="3"/>
      <c r="H144" s="41">
        <f t="shared" si="2"/>
        <v>0</v>
      </c>
    </row>
    <row r="145" ht="21.75" customHeight="1">
      <c r="A145" s="40">
        <v>46337.0</v>
      </c>
      <c r="B145" s="41" t="str">
        <f t="shared" si="1"/>
        <v>水</v>
      </c>
      <c r="C145" s="41">
        <f>ROUNDUP((A145-'01_習慣設計'!$B$6+1)/7,0)</f>
        <v>20</v>
      </c>
      <c r="D145" s="41">
        <f>(YEAR(A145)-YEAR('01_習慣設計'!$B$6))*12+MONTH(A145)-MONTH('01_習慣設計'!$B$6)+1</f>
        <v>5</v>
      </c>
      <c r="E145" s="12"/>
      <c r="F145" s="3"/>
      <c r="G145" s="3"/>
      <c r="H145" s="41">
        <f t="shared" si="2"/>
        <v>0</v>
      </c>
    </row>
    <row r="146" ht="21.75" customHeight="1">
      <c r="A146" s="40">
        <v>46338.0</v>
      </c>
      <c r="B146" s="41" t="str">
        <f t="shared" si="1"/>
        <v>木</v>
      </c>
      <c r="C146" s="41">
        <f>ROUNDUP((A146-'01_習慣設計'!$B$6+1)/7,0)</f>
        <v>20</v>
      </c>
      <c r="D146" s="41">
        <f>(YEAR(A146)-YEAR('01_習慣設計'!$B$6))*12+MONTH(A146)-MONTH('01_習慣設計'!$B$6)+1</f>
        <v>5</v>
      </c>
      <c r="E146" s="12"/>
      <c r="F146" s="3"/>
      <c r="G146" s="3"/>
      <c r="H146" s="41">
        <f t="shared" si="2"/>
        <v>0</v>
      </c>
    </row>
    <row r="147" ht="21.75" customHeight="1">
      <c r="A147" s="40">
        <v>46339.0</v>
      </c>
      <c r="B147" s="41" t="str">
        <f t="shared" si="1"/>
        <v>金</v>
      </c>
      <c r="C147" s="41">
        <f>ROUNDUP((A147-'01_習慣設計'!$B$6+1)/7,0)</f>
        <v>20</v>
      </c>
      <c r="D147" s="41">
        <f>(YEAR(A147)-YEAR('01_習慣設計'!$B$6))*12+MONTH(A147)-MONTH('01_習慣設計'!$B$6)+1</f>
        <v>5</v>
      </c>
      <c r="E147" s="12"/>
      <c r="F147" s="3"/>
      <c r="G147" s="3"/>
      <c r="H147" s="41">
        <f t="shared" si="2"/>
        <v>0</v>
      </c>
    </row>
    <row r="148" ht="21.75" customHeight="1">
      <c r="A148" s="40">
        <v>46340.0</v>
      </c>
      <c r="B148" s="41" t="str">
        <f t="shared" si="1"/>
        <v>土</v>
      </c>
      <c r="C148" s="41">
        <f>ROUNDUP((A148-'01_習慣設計'!$B$6+1)/7,0)</f>
        <v>20</v>
      </c>
      <c r="D148" s="41">
        <f>(YEAR(A148)-YEAR('01_習慣設計'!$B$6))*12+MONTH(A148)-MONTH('01_習慣設計'!$B$6)+1</f>
        <v>5</v>
      </c>
      <c r="E148" s="12"/>
      <c r="F148" s="3"/>
      <c r="G148" s="3"/>
      <c r="H148" s="41">
        <f t="shared" si="2"/>
        <v>0</v>
      </c>
    </row>
    <row r="149" ht="21.75" customHeight="1">
      <c r="A149" s="40">
        <v>46341.0</v>
      </c>
      <c r="B149" s="41" t="str">
        <f t="shared" si="1"/>
        <v>日</v>
      </c>
      <c r="C149" s="41">
        <f>ROUNDUP((A149-'01_習慣設計'!$B$6+1)/7,0)</f>
        <v>20</v>
      </c>
      <c r="D149" s="41">
        <f>(YEAR(A149)-YEAR('01_習慣設計'!$B$6))*12+MONTH(A149)-MONTH('01_習慣設計'!$B$6)+1</f>
        <v>5</v>
      </c>
      <c r="E149" s="12"/>
      <c r="F149" s="3"/>
      <c r="G149" s="3"/>
      <c r="H149" s="41">
        <f t="shared" si="2"/>
        <v>0</v>
      </c>
    </row>
    <row r="150" ht="21.75" customHeight="1">
      <c r="A150" s="40">
        <v>46342.0</v>
      </c>
      <c r="B150" s="41" t="str">
        <f t="shared" si="1"/>
        <v>月</v>
      </c>
      <c r="C150" s="41">
        <f>ROUNDUP((A150-'01_習慣設計'!$B$6+1)/7,0)</f>
        <v>20</v>
      </c>
      <c r="D150" s="41">
        <f>(YEAR(A150)-YEAR('01_習慣設計'!$B$6))*12+MONTH(A150)-MONTH('01_習慣設計'!$B$6)+1</f>
        <v>5</v>
      </c>
      <c r="E150" s="12"/>
      <c r="F150" s="3"/>
      <c r="G150" s="3"/>
      <c r="H150" s="41">
        <f t="shared" si="2"/>
        <v>0</v>
      </c>
    </row>
    <row r="151" ht="21.75" customHeight="1">
      <c r="A151" s="40">
        <v>46343.0</v>
      </c>
      <c r="B151" s="41" t="str">
        <f t="shared" si="1"/>
        <v>火</v>
      </c>
      <c r="C151" s="41">
        <f>ROUNDUP((A151-'01_習慣設計'!$B$6+1)/7,0)</f>
        <v>20</v>
      </c>
      <c r="D151" s="41">
        <f>(YEAR(A151)-YEAR('01_習慣設計'!$B$6))*12+MONTH(A151)-MONTH('01_習慣設計'!$B$6)+1</f>
        <v>5</v>
      </c>
      <c r="E151" s="12"/>
      <c r="F151" s="3"/>
      <c r="G151" s="3"/>
      <c r="H151" s="41">
        <f t="shared" si="2"/>
        <v>0</v>
      </c>
    </row>
    <row r="152" ht="21.75" customHeight="1">
      <c r="A152" s="40">
        <v>46344.0</v>
      </c>
      <c r="B152" s="41" t="str">
        <f t="shared" si="1"/>
        <v>水</v>
      </c>
      <c r="C152" s="41">
        <f>ROUNDUP((A152-'01_習慣設計'!$B$6+1)/7,0)</f>
        <v>21</v>
      </c>
      <c r="D152" s="41">
        <f>(YEAR(A152)-YEAR('01_習慣設計'!$B$6))*12+MONTH(A152)-MONTH('01_習慣設計'!$B$6)+1</f>
        <v>5</v>
      </c>
      <c r="E152" s="12"/>
      <c r="F152" s="3"/>
      <c r="G152" s="3"/>
      <c r="H152" s="41">
        <f t="shared" si="2"/>
        <v>0</v>
      </c>
    </row>
    <row r="153" ht="21.75" customHeight="1">
      <c r="A153" s="40">
        <v>46345.0</v>
      </c>
      <c r="B153" s="41" t="str">
        <f t="shared" si="1"/>
        <v>木</v>
      </c>
      <c r="C153" s="41">
        <f>ROUNDUP((A153-'01_習慣設計'!$B$6+1)/7,0)</f>
        <v>21</v>
      </c>
      <c r="D153" s="41">
        <f>(YEAR(A153)-YEAR('01_習慣設計'!$B$6))*12+MONTH(A153)-MONTH('01_習慣設計'!$B$6)+1</f>
        <v>5</v>
      </c>
      <c r="E153" s="12"/>
      <c r="F153" s="3"/>
      <c r="G153" s="3"/>
      <c r="H153" s="41">
        <f t="shared" si="2"/>
        <v>0</v>
      </c>
    </row>
    <row r="154" ht="21.75" customHeight="1">
      <c r="A154" s="40">
        <v>46346.0</v>
      </c>
      <c r="B154" s="41" t="str">
        <f t="shared" si="1"/>
        <v>金</v>
      </c>
      <c r="C154" s="41">
        <f>ROUNDUP((A154-'01_習慣設計'!$B$6+1)/7,0)</f>
        <v>21</v>
      </c>
      <c r="D154" s="41">
        <f>(YEAR(A154)-YEAR('01_習慣設計'!$B$6))*12+MONTH(A154)-MONTH('01_習慣設計'!$B$6)+1</f>
        <v>5</v>
      </c>
      <c r="E154" s="12"/>
      <c r="F154" s="3"/>
      <c r="G154" s="3"/>
      <c r="H154" s="41">
        <f t="shared" si="2"/>
        <v>0</v>
      </c>
    </row>
    <row r="155" ht="21.75" customHeight="1">
      <c r="A155" s="40">
        <v>46347.0</v>
      </c>
      <c r="B155" s="41" t="str">
        <f t="shared" si="1"/>
        <v>土</v>
      </c>
      <c r="C155" s="41">
        <f>ROUNDUP((A155-'01_習慣設計'!$B$6+1)/7,0)</f>
        <v>21</v>
      </c>
      <c r="D155" s="41">
        <f>(YEAR(A155)-YEAR('01_習慣設計'!$B$6))*12+MONTH(A155)-MONTH('01_習慣設計'!$B$6)+1</f>
        <v>5</v>
      </c>
      <c r="E155" s="12"/>
      <c r="F155" s="3"/>
      <c r="G155" s="3"/>
      <c r="H155" s="41">
        <f t="shared" si="2"/>
        <v>0</v>
      </c>
    </row>
    <row r="156" ht="21.75" customHeight="1">
      <c r="A156" s="40">
        <v>46348.0</v>
      </c>
      <c r="B156" s="41" t="str">
        <f t="shared" si="1"/>
        <v>日</v>
      </c>
      <c r="C156" s="41">
        <f>ROUNDUP((A156-'01_習慣設計'!$B$6+1)/7,0)</f>
        <v>21</v>
      </c>
      <c r="D156" s="41">
        <f>(YEAR(A156)-YEAR('01_習慣設計'!$B$6))*12+MONTH(A156)-MONTH('01_習慣設計'!$B$6)+1</f>
        <v>5</v>
      </c>
      <c r="E156" s="12"/>
      <c r="F156" s="3"/>
      <c r="G156" s="3"/>
      <c r="H156" s="41">
        <f t="shared" si="2"/>
        <v>0</v>
      </c>
    </row>
    <row r="157" ht="21.75" customHeight="1">
      <c r="A157" s="40">
        <v>46349.0</v>
      </c>
      <c r="B157" s="41" t="str">
        <f t="shared" si="1"/>
        <v>月</v>
      </c>
      <c r="C157" s="41">
        <f>ROUNDUP((A157-'01_習慣設計'!$B$6+1)/7,0)</f>
        <v>21</v>
      </c>
      <c r="D157" s="41">
        <f>(YEAR(A157)-YEAR('01_習慣設計'!$B$6))*12+MONTH(A157)-MONTH('01_習慣設計'!$B$6)+1</f>
        <v>5</v>
      </c>
      <c r="E157" s="12"/>
      <c r="F157" s="3"/>
      <c r="G157" s="3"/>
      <c r="H157" s="41">
        <f t="shared" si="2"/>
        <v>0</v>
      </c>
    </row>
    <row r="158" ht="21.75" customHeight="1">
      <c r="A158" s="40">
        <v>46350.0</v>
      </c>
      <c r="B158" s="41" t="str">
        <f t="shared" si="1"/>
        <v>火</v>
      </c>
      <c r="C158" s="41">
        <f>ROUNDUP((A158-'01_習慣設計'!$B$6+1)/7,0)</f>
        <v>21</v>
      </c>
      <c r="D158" s="41">
        <f>(YEAR(A158)-YEAR('01_習慣設計'!$B$6))*12+MONTH(A158)-MONTH('01_習慣設計'!$B$6)+1</f>
        <v>5</v>
      </c>
      <c r="E158" s="12"/>
      <c r="F158" s="3"/>
      <c r="G158" s="3"/>
      <c r="H158" s="41">
        <f t="shared" si="2"/>
        <v>0</v>
      </c>
    </row>
    <row r="159" ht="21.75" customHeight="1">
      <c r="A159" s="40">
        <v>46351.0</v>
      </c>
      <c r="B159" s="41" t="str">
        <f t="shared" si="1"/>
        <v>水</v>
      </c>
      <c r="C159" s="41">
        <f>ROUNDUP((A159-'01_習慣設計'!$B$6+1)/7,0)</f>
        <v>22</v>
      </c>
      <c r="D159" s="41">
        <f>(YEAR(A159)-YEAR('01_習慣設計'!$B$6))*12+MONTH(A159)-MONTH('01_習慣設計'!$B$6)+1</f>
        <v>5</v>
      </c>
      <c r="E159" s="12"/>
      <c r="F159" s="3"/>
      <c r="G159" s="3"/>
      <c r="H159" s="41">
        <f t="shared" si="2"/>
        <v>0</v>
      </c>
    </row>
    <row r="160" ht="21.75" customHeight="1">
      <c r="A160" s="40">
        <v>46352.0</v>
      </c>
      <c r="B160" s="41" t="str">
        <f t="shared" si="1"/>
        <v>木</v>
      </c>
      <c r="C160" s="41">
        <f>ROUNDUP((A160-'01_習慣設計'!$B$6+1)/7,0)</f>
        <v>22</v>
      </c>
      <c r="D160" s="41">
        <f>(YEAR(A160)-YEAR('01_習慣設計'!$B$6))*12+MONTH(A160)-MONTH('01_習慣設計'!$B$6)+1</f>
        <v>5</v>
      </c>
      <c r="E160" s="12"/>
      <c r="F160" s="3"/>
      <c r="G160" s="3"/>
      <c r="H160" s="41">
        <f t="shared" si="2"/>
        <v>0</v>
      </c>
    </row>
    <row r="161" ht="21.75" customHeight="1">
      <c r="A161" s="40">
        <v>46353.0</v>
      </c>
      <c r="B161" s="41" t="str">
        <f t="shared" si="1"/>
        <v>金</v>
      </c>
      <c r="C161" s="41">
        <f>ROUNDUP((A161-'01_習慣設計'!$B$6+1)/7,0)</f>
        <v>22</v>
      </c>
      <c r="D161" s="41">
        <f>(YEAR(A161)-YEAR('01_習慣設計'!$B$6))*12+MONTH(A161)-MONTH('01_習慣設計'!$B$6)+1</f>
        <v>5</v>
      </c>
      <c r="E161" s="12"/>
      <c r="F161" s="3"/>
      <c r="G161" s="3"/>
      <c r="H161" s="41">
        <f t="shared" si="2"/>
        <v>0</v>
      </c>
    </row>
    <row r="162" ht="21.75" customHeight="1">
      <c r="A162" s="40">
        <v>46354.0</v>
      </c>
      <c r="B162" s="41" t="str">
        <f t="shared" si="1"/>
        <v>土</v>
      </c>
      <c r="C162" s="41">
        <f>ROUNDUP((A162-'01_習慣設計'!$B$6+1)/7,0)</f>
        <v>22</v>
      </c>
      <c r="D162" s="41">
        <f>(YEAR(A162)-YEAR('01_習慣設計'!$B$6))*12+MONTH(A162)-MONTH('01_習慣設計'!$B$6)+1</f>
        <v>5</v>
      </c>
      <c r="E162" s="12"/>
      <c r="F162" s="3"/>
      <c r="G162" s="3"/>
      <c r="H162" s="41">
        <f t="shared" si="2"/>
        <v>0</v>
      </c>
    </row>
    <row r="163" ht="21.75" customHeight="1">
      <c r="A163" s="40">
        <v>46355.0</v>
      </c>
      <c r="B163" s="41" t="str">
        <f t="shared" si="1"/>
        <v>日</v>
      </c>
      <c r="C163" s="41">
        <f>ROUNDUP((A163-'01_習慣設計'!$B$6+1)/7,0)</f>
        <v>22</v>
      </c>
      <c r="D163" s="41">
        <f>(YEAR(A163)-YEAR('01_習慣設計'!$B$6))*12+MONTH(A163)-MONTH('01_習慣設計'!$B$6)+1</f>
        <v>5</v>
      </c>
      <c r="E163" s="12"/>
      <c r="F163" s="3"/>
      <c r="G163" s="3"/>
      <c r="H163" s="41">
        <f t="shared" si="2"/>
        <v>0</v>
      </c>
    </row>
    <row r="164" ht="21.75" customHeight="1">
      <c r="A164" s="40">
        <v>46356.0</v>
      </c>
      <c r="B164" s="41" t="str">
        <f t="shared" si="1"/>
        <v>月</v>
      </c>
      <c r="C164" s="41">
        <f>ROUNDUP((A164-'01_習慣設計'!$B$6+1)/7,0)</f>
        <v>22</v>
      </c>
      <c r="D164" s="41">
        <f>(YEAR(A164)-YEAR('01_習慣設計'!$B$6))*12+MONTH(A164)-MONTH('01_習慣設計'!$B$6)+1</f>
        <v>5</v>
      </c>
      <c r="E164" s="12"/>
      <c r="F164" s="3"/>
      <c r="G164" s="3"/>
      <c r="H164" s="41">
        <f t="shared" si="2"/>
        <v>0</v>
      </c>
    </row>
    <row r="165" ht="21.75" customHeight="1">
      <c r="A165" s="40">
        <v>46357.0</v>
      </c>
      <c r="B165" s="41" t="str">
        <f t="shared" si="1"/>
        <v>火</v>
      </c>
      <c r="C165" s="41">
        <f>ROUNDUP((A165-'01_習慣設計'!$B$6+1)/7,0)</f>
        <v>22</v>
      </c>
      <c r="D165" s="41">
        <f>(YEAR(A165)-YEAR('01_習慣設計'!$B$6))*12+MONTH(A165)-MONTH('01_習慣設計'!$B$6)+1</f>
        <v>6</v>
      </c>
      <c r="E165" s="12"/>
      <c r="F165" s="3"/>
      <c r="G165" s="3"/>
      <c r="H165" s="41">
        <f t="shared" si="2"/>
        <v>0</v>
      </c>
    </row>
    <row r="166" ht="21.75" customHeight="1">
      <c r="A166" s="40">
        <v>46358.0</v>
      </c>
      <c r="B166" s="41" t="str">
        <f t="shared" si="1"/>
        <v>水</v>
      </c>
      <c r="C166" s="41">
        <f>ROUNDUP((A166-'01_習慣設計'!$B$6+1)/7,0)</f>
        <v>23</v>
      </c>
      <c r="D166" s="41">
        <f>(YEAR(A166)-YEAR('01_習慣設計'!$B$6))*12+MONTH(A166)-MONTH('01_習慣設計'!$B$6)+1</f>
        <v>6</v>
      </c>
      <c r="E166" s="12"/>
      <c r="F166" s="3"/>
      <c r="G166" s="3"/>
      <c r="H166" s="41">
        <f t="shared" si="2"/>
        <v>0</v>
      </c>
    </row>
    <row r="167" ht="21.75" customHeight="1">
      <c r="A167" s="40">
        <v>46359.0</v>
      </c>
      <c r="B167" s="41" t="str">
        <f t="shared" si="1"/>
        <v>木</v>
      </c>
      <c r="C167" s="41">
        <f>ROUNDUP((A167-'01_習慣設計'!$B$6+1)/7,0)</f>
        <v>23</v>
      </c>
      <c r="D167" s="41">
        <f>(YEAR(A167)-YEAR('01_習慣設計'!$B$6))*12+MONTH(A167)-MONTH('01_習慣設計'!$B$6)+1</f>
        <v>6</v>
      </c>
      <c r="E167" s="12"/>
      <c r="F167" s="3"/>
      <c r="G167" s="3"/>
      <c r="H167" s="41">
        <f t="shared" si="2"/>
        <v>0</v>
      </c>
    </row>
    <row r="168" ht="21.75" customHeight="1">
      <c r="A168" s="40">
        <v>46360.0</v>
      </c>
      <c r="B168" s="41" t="str">
        <f t="shared" si="1"/>
        <v>金</v>
      </c>
      <c r="C168" s="41">
        <f>ROUNDUP((A168-'01_習慣設計'!$B$6+1)/7,0)</f>
        <v>23</v>
      </c>
      <c r="D168" s="41">
        <f>(YEAR(A168)-YEAR('01_習慣設計'!$B$6))*12+MONTH(A168)-MONTH('01_習慣設計'!$B$6)+1</f>
        <v>6</v>
      </c>
      <c r="E168" s="12"/>
      <c r="F168" s="3"/>
      <c r="G168" s="3"/>
      <c r="H168" s="41">
        <f t="shared" si="2"/>
        <v>0</v>
      </c>
    </row>
    <row r="169" ht="21.75" customHeight="1">
      <c r="A169" s="40">
        <v>46361.0</v>
      </c>
      <c r="B169" s="41" t="str">
        <f t="shared" si="1"/>
        <v>土</v>
      </c>
      <c r="C169" s="41">
        <f>ROUNDUP((A169-'01_習慣設計'!$B$6+1)/7,0)</f>
        <v>23</v>
      </c>
      <c r="D169" s="41">
        <f>(YEAR(A169)-YEAR('01_習慣設計'!$B$6))*12+MONTH(A169)-MONTH('01_習慣設計'!$B$6)+1</f>
        <v>6</v>
      </c>
      <c r="E169" s="12"/>
      <c r="F169" s="3"/>
      <c r="G169" s="3"/>
      <c r="H169" s="41">
        <f t="shared" si="2"/>
        <v>0</v>
      </c>
    </row>
    <row r="170" ht="21.75" customHeight="1">
      <c r="A170" s="40">
        <v>46362.0</v>
      </c>
      <c r="B170" s="41" t="str">
        <f t="shared" si="1"/>
        <v>日</v>
      </c>
      <c r="C170" s="41">
        <f>ROUNDUP((A170-'01_習慣設計'!$B$6+1)/7,0)</f>
        <v>23</v>
      </c>
      <c r="D170" s="41">
        <f>(YEAR(A170)-YEAR('01_習慣設計'!$B$6))*12+MONTH(A170)-MONTH('01_習慣設計'!$B$6)+1</f>
        <v>6</v>
      </c>
      <c r="E170" s="12"/>
      <c r="F170" s="3"/>
      <c r="G170" s="3"/>
      <c r="H170" s="41">
        <f t="shared" si="2"/>
        <v>0</v>
      </c>
    </row>
    <row r="171" ht="21.75" customHeight="1">
      <c r="A171" s="40">
        <v>46363.0</v>
      </c>
      <c r="B171" s="41" t="str">
        <f t="shared" si="1"/>
        <v>月</v>
      </c>
      <c r="C171" s="41">
        <f>ROUNDUP((A171-'01_習慣設計'!$B$6+1)/7,0)</f>
        <v>23</v>
      </c>
      <c r="D171" s="41">
        <f>(YEAR(A171)-YEAR('01_習慣設計'!$B$6))*12+MONTH(A171)-MONTH('01_習慣設計'!$B$6)+1</f>
        <v>6</v>
      </c>
      <c r="E171" s="12"/>
      <c r="F171" s="3"/>
      <c r="G171" s="3"/>
      <c r="H171" s="41">
        <f t="shared" si="2"/>
        <v>0</v>
      </c>
    </row>
    <row r="172" ht="21.75" customHeight="1">
      <c r="A172" s="40">
        <v>46364.0</v>
      </c>
      <c r="B172" s="41" t="str">
        <f t="shared" si="1"/>
        <v>火</v>
      </c>
      <c r="C172" s="41">
        <f>ROUNDUP((A172-'01_習慣設計'!$B$6+1)/7,0)</f>
        <v>23</v>
      </c>
      <c r="D172" s="41">
        <f>(YEAR(A172)-YEAR('01_習慣設計'!$B$6))*12+MONTH(A172)-MONTH('01_習慣設計'!$B$6)+1</f>
        <v>6</v>
      </c>
      <c r="E172" s="12"/>
      <c r="F172" s="3"/>
      <c r="G172" s="3"/>
      <c r="H172" s="41">
        <f t="shared" si="2"/>
        <v>0</v>
      </c>
    </row>
    <row r="173" ht="21.75" customHeight="1">
      <c r="A173" s="40">
        <v>46365.0</v>
      </c>
      <c r="B173" s="41" t="str">
        <f t="shared" si="1"/>
        <v>水</v>
      </c>
      <c r="C173" s="41">
        <f>ROUNDUP((A173-'01_習慣設計'!$B$6+1)/7,0)</f>
        <v>24</v>
      </c>
      <c r="D173" s="41">
        <f>(YEAR(A173)-YEAR('01_習慣設計'!$B$6))*12+MONTH(A173)-MONTH('01_習慣設計'!$B$6)+1</f>
        <v>6</v>
      </c>
      <c r="E173" s="12"/>
      <c r="F173" s="3"/>
      <c r="G173" s="3"/>
      <c r="H173" s="41">
        <f t="shared" si="2"/>
        <v>0</v>
      </c>
    </row>
    <row r="174" ht="21.75" customHeight="1">
      <c r="A174" s="40">
        <v>46366.0</v>
      </c>
      <c r="B174" s="41" t="str">
        <f t="shared" si="1"/>
        <v>木</v>
      </c>
      <c r="C174" s="41">
        <f>ROUNDUP((A174-'01_習慣設計'!$B$6+1)/7,0)</f>
        <v>24</v>
      </c>
      <c r="D174" s="41">
        <f>(YEAR(A174)-YEAR('01_習慣設計'!$B$6))*12+MONTH(A174)-MONTH('01_習慣設計'!$B$6)+1</f>
        <v>6</v>
      </c>
      <c r="E174" s="12"/>
      <c r="F174" s="3"/>
      <c r="G174" s="3"/>
      <c r="H174" s="41">
        <f t="shared" si="2"/>
        <v>0</v>
      </c>
    </row>
    <row r="175" ht="21.75" customHeight="1">
      <c r="A175" s="40">
        <v>46367.0</v>
      </c>
      <c r="B175" s="41" t="str">
        <f t="shared" si="1"/>
        <v>金</v>
      </c>
      <c r="C175" s="41">
        <f>ROUNDUP((A175-'01_習慣設計'!$B$6+1)/7,0)</f>
        <v>24</v>
      </c>
      <c r="D175" s="41">
        <f>(YEAR(A175)-YEAR('01_習慣設計'!$B$6))*12+MONTH(A175)-MONTH('01_習慣設計'!$B$6)+1</f>
        <v>6</v>
      </c>
      <c r="E175" s="12"/>
      <c r="F175" s="3"/>
      <c r="G175" s="3"/>
      <c r="H175" s="41">
        <f t="shared" si="2"/>
        <v>0</v>
      </c>
    </row>
    <row r="176" ht="21.75" customHeight="1">
      <c r="A176" s="40">
        <v>46368.0</v>
      </c>
      <c r="B176" s="41" t="str">
        <f t="shared" si="1"/>
        <v>土</v>
      </c>
      <c r="C176" s="41">
        <f>ROUNDUP((A176-'01_習慣設計'!$B$6+1)/7,0)</f>
        <v>24</v>
      </c>
      <c r="D176" s="41">
        <f>(YEAR(A176)-YEAR('01_習慣設計'!$B$6))*12+MONTH(A176)-MONTH('01_習慣設計'!$B$6)+1</f>
        <v>6</v>
      </c>
      <c r="E176" s="12"/>
      <c r="F176" s="3"/>
      <c r="G176" s="3"/>
      <c r="H176" s="41">
        <f t="shared" si="2"/>
        <v>0</v>
      </c>
    </row>
    <row r="177" ht="21.75" customHeight="1">
      <c r="A177" s="40">
        <v>46369.0</v>
      </c>
      <c r="B177" s="41" t="str">
        <f t="shared" si="1"/>
        <v>日</v>
      </c>
      <c r="C177" s="41">
        <f>ROUNDUP((A177-'01_習慣設計'!$B$6+1)/7,0)</f>
        <v>24</v>
      </c>
      <c r="D177" s="41">
        <f>(YEAR(A177)-YEAR('01_習慣設計'!$B$6))*12+MONTH(A177)-MONTH('01_習慣設計'!$B$6)+1</f>
        <v>6</v>
      </c>
      <c r="E177" s="12"/>
      <c r="F177" s="3"/>
      <c r="G177" s="3"/>
      <c r="H177" s="41">
        <f t="shared" si="2"/>
        <v>0</v>
      </c>
    </row>
    <row r="178" ht="21.75" customHeight="1">
      <c r="A178" s="40">
        <v>46370.0</v>
      </c>
      <c r="B178" s="41" t="str">
        <f t="shared" si="1"/>
        <v>月</v>
      </c>
      <c r="C178" s="41">
        <f>ROUNDUP((A178-'01_習慣設計'!$B$6+1)/7,0)</f>
        <v>24</v>
      </c>
      <c r="D178" s="41">
        <f>(YEAR(A178)-YEAR('01_習慣設計'!$B$6))*12+MONTH(A178)-MONTH('01_習慣設計'!$B$6)+1</f>
        <v>6</v>
      </c>
      <c r="E178" s="12"/>
      <c r="F178" s="3"/>
      <c r="G178" s="3"/>
      <c r="H178" s="41">
        <f t="shared" si="2"/>
        <v>0</v>
      </c>
    </row>
    <row r="179" ht="21.75" customHeight="1">
      <c r="A179" s="40">
        <v>46371.0</v>
      </c>
      <c r="B179" s="41" t="str">
        <f t="shared" si="1"/>
        <v>火</v>
      </c>
      <c r="C179" s="41">
        <f>ROUNDUP((A179-'01_習慣設計'!$B$6+1)/7,0)</f>
        <v>24</v>
      </c>
      <c r="D179" s="41">
        <f>(YEAR(A179)-YEAR('01_習慣設計'!$B$6))*12+MONTH(A179)-MONTH('01_習慣設計'!$B$6)+1</f>
        <v>6</v>
      </c>
      <c r="E179" s="12"/>
      <c r="F179" s="3"/>
      <c r="G179" s="3"/>
      <c r="H179" s="41">
        <f t="shared" si="2"/>
        <v>0</v>
      </c>
    </row>
    <row r="180" ht="21.75" customHeight="1">
      <c r="A180" s="40">
        <v>46372.0</v>
      </c>
      <c r="B180" s="41" t="str">
        <f t="shared" si="1"/>
        <v>水</v>
      </c>
      <c r="C180" s="41">
        <f>ROUNDUP((A180-'01_習慣設計'!$B$6+1)/7,0)</f>
        <v>25</v>
      </c>
      <c r="D180" s="41">
        <f>(YEAR(A180)-YEAR('01_習慣設計'!$B$6))*12+MONTH(A180)-MONTH('01_習慣設計'!$B$6)+1</f>
        <v>6</v>
      </c>
      <c r="E180" s="12"/>
      <c r="F180" s="3"/>
      <c r="G180" s="3"/>
      <c r="H180" s="41">
        <f t="shared" si="2"/>
        <v>0</v>
      </c>
    </row>
    <row r="181" ht="21.75" customHeight="1">
      <c r="A181" s="40">
        <v>46373.0</v>
      </c>
      <c r="B181" s="41" t="str">
        <f t="shared" si="1"/>
        <v>木</v>
      </c>
      <c r="C181" s="41">
        <f>ROUNDUP((A181-'01_習慣設計'!$B$6+1)/7,0)</f>
        <v>25</v>
      </c>
      <c r="D181" s="41">
        <f>(YEAR(A181)-YEAR('01_習慣設計'!$B$6))*12+MONTH(A181)-MONTH('01_習慣設計'!$B$6)+1</f>
        <v>6</v>
      </c>
      <c r="E181" s="12"/>
      <c r="F181" s="3"/>
      <c r="G181" s="3"/>
      <c r="H181" s="41">
        <f t="shared" si="2"/>
        <v>0</v>
      </c>
    </row>
    <row r="182" ht="21.75" customHeight="1">
      <c r="A182" s="40">
        <v>46374.0</v>
      </c>
      <c r="B182" s="41" t="str">
        <f t="shared" si="1"/>
        <v>金</v>
      </c>
      <c r="C182" s="41">
        <f>ROUNDUP((A182-'01_習慣設計'!$B$6+1)/7,0)</f>
        <v>25</v>
      </c>
      <c r="D182" s="41">
        <f>(YEAR(A182)-YEAR('01_習慣設計'!$B$6))*12+MONTH(A182)-MONTH('01_習慣設計'!$B$6)+1</f>
        <v>6</v>
      </c>
      <c r="E182" s="12"/>
      <c r="F182" s="3"/>
      <c r="G182" s="3"/>
      <c r="H182" s="41">
        <f t="shared" si="2"/>
        <v>0</v>
      </c>
    </row>
    <row r="183" ht="21.75" customHeight="1">
      <c r="A183" s="40">
        <v>46375.0</v>
      </c>
      <c r="B183" s="41" t="str">
        <f t="shared" si="1"/>
        <v>土</v>
      </c>
      <c r="C183" s="41">
        <f>ROUNDUP((A183-'01_習慣設計'!$B$6+1)/7,0)</f>
        <v>25</v>
      </c>
      <c r="D183" s="41">
        <f>(YEAR(A183)-YEAR('01_習慣設計'!$B$6))*12+MONTH(A183)-MONTH('01_習慣設計'!$B$6)+1</f>
        <v>6</v>
      </c>
      <c r="E183" s="12"/>
      <c r="F183" s="3"/>
      <c r="G183" s="3"/>
      <c r="H183" s="41">
        <f t="shared" si="2"/>
        <v>0</v>
      </c>
    </row>
    <row r="184" ht="21.75" customHeight="1">
      <c r="A184" s="40">
        <v>46376.0</v>
      </c>
      <c r="B184" s="41" t="str">
        <f t="shared" si="1"/>
        <v>日</v>
      </c>
      <c r="C184" s="41">
        <f>ROUNDUP((A184-'01_習慣設計'!$B$6+1)/7,0)</f>
        <v>25</v>
      </c>
      <c r="D184" s="41">
        <f>(YEAR(A184)-YEAR('01_習慣設計'!$B$6))*12+MONTH(A184)-MONTH('01_習慣設計'!$B$6)+1</f>
        <v>6</v>
      </c>
      <c r="E184" s="12"/>
      <c r="F184" s="3"/>
      <c r="G184" s="3"/>
      <c r="H184" s="41">
        <f t="shared" si="2"/>
        <v>0</v>
      </c>
    </row>
    <row r="185" ht="21.75" customHeight="1">
      <c r="A185" s="40">
        <v>46377.0</v>
      </c>
      <c r="B185" s="41" t="str">
        <f t="shared" si="1"/>
        <v>月</v>
      </c>
      <c r="C185" s="41">
        <f>ROUNDUP((A185-'01_習慣設計'!$B$6+1)/7,0)</f>
        <v>25</v>
      </c>
      <c r="D185" s="41">
        <f>(YEAR(A185)-YEAR('01_習慣設計'!$B$6))*12+MONTH(A185)-MONTH('01_習慣設計'!$B$6)+1</f>
        <v>6</v>
      </c>
      <c r="E185" s="12"/>
      <c r="F185" s="3"/>
      <c r="G185" s="3"/>
      <c r="H185" s="41">
        <f t="shared" si="2"/>
        <v>0</v>
      </c>
    </row>
    <row r="186" ht="21.75" customHeight="1">
      <c r="A186" s="40">
        <v>46378.0</v>
      </c>
      <c r="B186" s="41" t="str">
        <f t="shared" si="1"/>
        <v>火</v>
      </c>
      <c r="C186" s="41">
        <f>ROUNDUP((A186-'01_習慣設計'!$B$6+1)/7,0)</f>
        <v>25</v>
      </c>
      <c r="D186" s="41">
        <f>(YEAR(A186)-YEAR('01_習慣設計'!$B$6))*12+MONTH(A186)-MONTH('01_習慣設計'!$B$6)+1</f>
        <v>6</v>
      </c>
      <c r="E186" s="12"/>
      <c r="F186" s="3"/>
      <c r="G186" s="3"/>
      <c r="H186" s="41">
        <f t="shared" si="2"/>
        <v>0</v>
      </c>
    </row>
    <row r="187" ht="21.75" customHeight="1">
      <c r="A187" s="40">
        <v>46379.0</v>
      </c>
      <c r="B187" s="41" t="str">
        <f t="shared" si="1"/>
        <v>水</v>
      </c>
      <c r="C187" s="41">
        <f>ROUNDUP((A187-'01_習慣設計'!$B$6+1)/7,0)</f>
        <v>26</v>
      </c>
      <c r="D187" s="41">
        <f>(YEAR(A187)-YEAR('01_習慣設計'!$B$6))*12+MONTH(A187)-MONTH('01_習慣設計'!$B$6)+1</f>
        <v>6</v>
      </c>
      <c r="E187" s="12"/>
      <c r="F187" s="3"/>
      <c r="G187" s="3"/>
      <c r="H187" s="41">
        <f t="shared" si="2"/>
        <v>0</v>
      </c>
    </row>
    <row r="188" ht="21.75" customHeight="1">
      <c r="A188" s="40">
        <v>46380.0</v>
      </c>
      <c r="B188" s="41" t="str">
        <f t="shared" si="1"/>
        <v>木</v>
      </c>
      <c r="C188" s="41">
        <f>ROUNDUP((A188-'01_習慣設計'!$B$6+1)/7,0)</f>
        <v>26</v>
      </c>
      <c r="D188" s="41">
        <f>(YEAR(A188)-YEAR('01_習慣設計'!$B$6))*12+MONTH(A188)-MONTH('01_習慣設計'!$B$6)+1</f>
        <v>6</v>
      </c>
      <c r="E188" s="12"/>
      <c r="F188" s="3"/>
      <c r="G188" s="3"/>
      <c r="H188" s="41">
        <f t="shared" si="2"/>
        <v>0</v>
      </c>
    </row>
    <row r="189" ht="21.75" customHeight="1">
      <c r="A189" s="40">
        <v>46381.0</v>
      </c>
      <c r="B189" s="41" t="str">
        <f t="shared" si="1"/>
        <v>金</v>
      </c>
      <c r="C189" s="41">
        <f>ROUNDUP((A189-'01_習慣設計'!$B$6+1)/7,0)</f>
        <v>26</v>
      </c>
      <c r="D189" s="41">
        <f>(YEAR(A189)-YEAR('01_習慣設計'!$B$6))*12+MONTH(A189)-MONTH('01_習慣設計'!$B$6)+1</f>
        <v>6</v>
      </c>
      <c r="E189" s="12"/>
      <c r="F189" s="3"/>
      <c r="G189" s="3"/>
      <c r="H189" s="41">
        <f t="shared" si="2"/>
        <v>0</v>
      </c>
    </row>
    <row r="190" ht="21.75" customHeight="1">
      <c r="A190" s="40">
        <v>46382.0</v>
      </c>
      <c r="B190" s="41" t="str">
        <f t="shared" si="1"/>
        <v>土</v>
      </c>
      <c r="C190" s="41">
        <f>ROUNDUP((A190-'01_習慣設計'!$B$6+1)/7,0)</f>
        <v>26</v>
      </c>
      <c r="D190" s="41">
        <f>(YEAR(A190)-YEAR('01_習慣設計'!$B$6))*12+MONTH(A190)-MONTH('01_習慣設計'!$B$6)+1</f>
        <v>6</v>
      </c>
      <c r="E190" s="12"/>
      <c r="F190" s="3"/>
      <c r="G190" s="3"/>
      <c r="H190" s="41">
        <f t="shared" si="2"/>
        <v>0</v>
      </c>
    </row>
    <row r="191" ht="21.75" customHeight="1">
      <c r="A191" s="40">
        <v>46383.0</v>
      </c>
      <c r="B191" s="41" t="str">
        <f t="shared" si="1"/>
        <v>日</v>
      </c>
      <c r="C191" s="41">
        <f>ROUNDUP((A191-'01_習慣設計'!$B$6+1)/7,0)</f>
        <v>26</v>
      </c>
      <c r="D191" s="41">
        <f>(YEAR(A191)-YEAR('01_習慣設計'!$B$6))*12+MONTH(A191)-MONTH('01_習慣設計'!$B$6)+1</f>
        <v>6</v>
      </c>
      <c r="E191" s="12"/>
      <c r="F191" s="3"/>
      <c r="G191" s="3"/>
      <c r="H191" s="41">
        <f t="shared" si="2"/>
        <v>0</v>
      </c>
    </row>
    <row r="192" ht="21.75" customHeight="1">
      <c r="A192" s="40">
        <v>46384.0</v>
      </c>
      <c r="B192" s="41" t="str">
        <f t="shared" si="1"/>
        <v>月</v>
      </c>
      <c r="C192" s="41">
        <f>ROUNDUP((A192-'01_習慣設計'!$B$6+1)/7,0)</f>
        <v>26</v>
      </c>
      <c r="D192" s="41">
        <f>(YEAR(A192)-YEAR('01_習慣設計'!$B$6))*12+MONTH(A192)-MONTH('01_習慣設計'!$B$6)+1</f>
        <v>6</v>
      </c>
      <c r="E192" s="12"/>
      <c r="F192" s="3"/>
      <c r="G192" s="3"/>
      <c r="H192" s="41">
        <f t="shared" si="2"/>
        <v>0</v>
      </c>
    </row>
    <row r="193" ht="21.75" customHeight="1">
      <c r="A193" s="40">
        <v>46385.0</v>
      </c>
      <c r="B193" s="41" t="str">
        <f t="shared" si="1"/>
        <v>火</v>
      </c>
      <c r="C193" s="41">
        <f>ROUNDUP((A193-'01_習慣設計'!$B$6+1)/7,0)</f>
        <v>26</v>
      </c>
      <c r="D193" s="41">
        <f>(YEAR(A193)-YEAR('01_習慣設計'!$B$6))*12+MONTH(A193)-MONTH('01_習慣設計'!$B$6)+1</f>
        <v>6</v>
      </c>
      <c r="E193" s="12"/>
      <c r="F193" s="3"/>
      <c r="G193" s="3"/>
      <c r="H193" s="41">
        <f t="shared" si="2"/>
        <v>0</v>
      </c>
    </row>
    <row r="194" ht="21.75" customHeight="1">
      <c r="A194" s="40">
        <v>46386.0</v>
      </c>
      <c r="B194" s="41" t="str">
        <f t="shared" si="1"/>
        <v>水</v>
      </c>
      <c r="C194" s="41">
        <f>ROUNDUP((A194-'01_習慣設計'!$B$6+1)/7,0)</f>
        <v>27</v>
      </c>
      <c r="D194" s="41">
        <f>(YEAR(A194)-YEAR('01_習慣設計'!$B$6))*12+MONTH(A194)-MONTH('01_習慣設計'!$B$6)+1</f>
        <v>6</v>
      </c>
      <c r="E194" s="12"/>
      <c r="F194" s="3"/>
      <c r="G194" s="3"/>
      <c r="H194" s="41">
        <f t="shared" si="2"/>
        <v>0</v>
      </c>
    </row>
    <row r="195" ht="21.75" customHeight="1">
      <c r="A195" s="40">
        <v>46387.0</v>
      </c>
      <c r="B195" s="41" t="str">
        <f t="shared" si="1"/>
        <v>木</v>
      </c>
      <c r="C195" s="41">
        <f>ROUNDUP((A195-'01_習慣設計'!$B$6+1)/7,0)</f>
        <v>27</v>
      </c>
      <c r="D195" s="41">
        <f>(YEAR(A195)-YEAR('01_習慣設計'!$B$6))*12+MONTH(A195)-MONTH('01_習慣設計'!$B$6)+1</f>
        <v>6</v>
      </c>
      <c r="E195" s="12"/>
      <c r="F195" s="3"/>
      <c r="G195" s="3"/>
      <c r="H195" s="41">
        <f t="shared" si="2"/>
        <v>0</v>
      </c>
    </row>
    <row r="196" ht="21.75" customHeight="1">
      <c r="A196" s="40">
        <v>46388.0</v>
      </c>
      <c r="B196" s="41" t="str">
        <f t="shared" si="1"/>
        <v>金</v>
      </c>
      <c r="C196" s="41">
        <f>ROUNDUP((A196-'01_習慣設計'!$B$6+1)/7,0)</f>
        <v>27</v>
      </c>
      <c r="D196" s="41">
        <f>(YEAR(A196)-YEAR('01_習慣設計'!$B$6))*12+MONTH(A196)-MONTH('01_習慣設計'!$B$6)+1</f>
        <v>7</v>
      </c>
      <c r="E196" s="12"/>
      <c r="F196" s="3"/>
      <c r="G196" s="3"/>
      <c r="H196" s="41">
        <f t="shared" si="2"/>
        <v>0</v>
      </c>
    </row>
    <row r="197" ht="21.75" customHeight="1">
      <c r="A197" s="40">
        <v>46389.0</v>
      </c>
      <c r="B197" s="41" t="str">
        <f t="shared" si="1"/>
        <v>土</v>
      </c>
      <c r="C197" s="41">
        <f>ROUNDUP((A197-'01_習慣設計'!$B$6+1)/7,0)</f>
        <v>27</v>
      </c>
      <c r="D197" s="41">
        <f>(YEAR(A197)-YEAR('01_習慣設計'!$B$6))*12+MONTH(A197)-MONTH('01_習慣設計'!$B$6)+1</f>
        <v>7</v>
      </c>
      <c r="E197" s="12"/>
      <c r="F197" s="3"/>
      <c r="G197" s="3"/>
      <c r="H197" s="41">
        <f t="shared" si="2"/>
        <v>0</v>
      </c>
    </row>
    <row r="198" ht="21.75" customHeight="1">
      <c r="A198" s="40">
        <v>46390.0</v>
      </c>
      <c r="B198" s="41" t="str">
        <f t="shared" si="1"/>
        <v>日</v>
      </c>
      <c r="C198" s="41">
        <f>ROUNDUP((A198-'01_習慣設計'!$B$6+1)/7,0)</f>
        <v>27</v>
      </c>
      <c r="D198" s="41">
        <f>(YEAR(A198)-YEAR('01_習慣設計'!$B$6))*12+MONTH(A198)-MONTH('01_習慣設計'!$B$6)+1</f>
        <v>7</v>
      </c>
      <c r="E198" s="12"/>
      <c r="F198" s="3"/>
      <c r="G198" s="3"/>
      <c r="H198" s="41">
        <f t="shared" si="2"/>
        <v>0</v>
      </c>
    </row>
    <row r="199" ht="21.75" customHeight="1">
      <c r="A199" s="40">
        <v>46391.0</v>
      </c>
      <c r="B199" s="41" t="str">
        <f t="shared" si="1"/>
        <v>月</v>
      </c>
      <c r="C199" s="41">
        <f>ROUNDUP((A199-'01_習慣設計'!$B$6+1)/7,0)</f>
        <v>27</v>
      </c>
      <c r="D199" s="41">
        <f>(YEAR(A199)-YEAR('01_習慣設計'!$B$6))*12+MONTH(A199)-MONTH('01_習慣設計'!$B$6)+1</f>
        <v>7</v>
      </c>
      <c r="E199" s="12"/>
      <c r="F199" s="3"/>
      <c r="G199" s="3"/>
      <c r="H199" s="41">
        <f t="shared" si="2"/>
        <v>0</v>
      </c>
    </row>
    <row r="200" ht="21.75" customHeight="1">
      <c r="A200" s="40">
        <v>46392.0</v>
      </c>
      <c r="B200" s="41" t="str">
        <f t="shared" si="1"/>
        <v>火</v>
      </c>
      <c r="C200" s="41">
        <f>ROUNDUP((A200-'01_習慣設計'!$B$6+1)/7,0)</f>
        <v>27</v>
      </c>
      <c r="D200" s="41">
        <f>(YEAR(A200)-YEAR('01_習慣設計'!$B$6))*12+MONTH(A200)-MONTH('01_習慣設計'!$B$6)+1</f>
        <v>7</v>
      </c>
      <c r="E200" s="12"/>
      <c r="F200" s="3"/>
      <c r="G200" s="3"/>
      <c r="H200" s="41">
        <f t="shared" si="2"/>
        <v>0</v>
      </c>
    </row>
    <row r="201" ht="21.75" customHeight="1">
      <c r="A201" s="42">
        <v>46393.0</v>
      </c>
      <c r="B201" s="41" t="str">
        <f t="shared" si="1"/>
        <v>水</v>
      </c>
      <c r="C201" s="41">
        <f>ROUNDUP((A201-'01_習慣設計'!$B$6+1)/7,0)</f>
        <v>28</v>
      </c>
      <c r="D201" s="41">
        <f>(YEAR(A201)-YEAR('01_習慣設計'!$B$6))*12+MONTH(A201)-MONTH('01_習慣設計'!$B$6)+1</f>
        <v>7</v>
      </c>
      <c r="E201" s="12"/>
      <c r="F201" s="3"/>
      <c r="G201" s="3"/>
      <c r="H201" s="41">
        <f t="shared" si="2"/>
        <v>0</v>
      </c>
    </row>
    <row r="202" ht="21.75" customHeight="1">
      <c r="A202" s="42">
        <v>46394.0</v>
      </c>
      <c r="B202" s="41" t="str">
        <f t="shared" si="1"/>
        <v>木</v>
      </c>
      <c r="C202" s="41">
        <f>ROUNDUP((A202-'01_習慣設計'!$B$6+1)/7,0)</f>
        <v>28</v>
      </c>
      <c r="D202" s="41">
        <f>(YEAR(A202)-YEAR('01_習慣設計'!$B$6))*12+MONTH(A202)-MONTH('01_習慣設計'!$B$6)+1</f>
        <v>7</v>
      </c>
      <c r="E202" s="12"/>
      <c r="F202" s="3"/>
      <c r="G202" s="3"/>
      <c r="H202" s="41">
        <f t="shared" si="2"/>
        <v>0</v>
      </c>
    </row>
    <row r="203" ht="21.75" customHeight="1">
      <c r="A203" s="42">
        <v>46395.0</v>
      </c>
      <c r="B203" s="41" t="str">
        <f t="shared" si="1"/>
        <v>金</v>
      </c>
      <c r="C203" s="41">
        <f>ROUNDUP((A203-'01_習慣設計'!$B$6+1)/7,0)</f>
        <v>28</v>
      </c>
      <c r="D203" s="41">
        <f>(YEAR(A203)-YEAR('01_習慣設計'!$B$6))*12+MONTH(A203)-MONTH('01_習慣設計'!$B$6)+1</f>
        <v>7</v>
      </c>
      <c r="E203" s="12"/>
      <c r="F203" s="3"/>
      <c r="G203" s="3"/>
      <c r="H203" s="41">
        <f t="shared" si="2"/>
        <v>0</v>
      </c>
    </row>
    <row r="204" ht="21.75" customHeight="1">
      <c r="A204" s="42">
        <v>46396.0</v>
      </c>
      <c r="B204" s="41" t="str">
        <f t="shared" si="1"/>
        <v>土</v>
      </c>
      <c r="C204" s="41">
        <f>ROUNDUP((A204-'01_習慣設計'!$B$6+1)/7,0)</f>
        <v>28</v>
      </c>
      <c r="D204" s="41">
        <f>(YEAR(A204)-YEAR('01_習慣設計'!$B$6))*12+MONTH(A204)-MONTH('01_習慣設計'!$B$6)+1</f>
        <v>7</v>
      </c>
      <c r="E204" s="12"/>
      <c r="F204" s="3"/>
      <c r="G204" s="3"/>
      <c r="H204" s="41">
        <f t="shared" si="2"/>
        <v>0</v>
      </c>
    </row>
    <row r="205" ht="21.75" customHeight="1">
      <c r="A205" s="42">
        <v>46397.0</v>
      </c>
      <c r="B205" s="41" t="str">
        <f t="shared" si="1"/>
        <v>日</v>
      </c>
      <c r="C205" s="41">
        <f>ROUNDUP((A205-'01_習慣設計'!$B$6+1)/7,0)</f>
        <v>28</v>
      </c>
      <c r="D205" s="41">
        <f>(YEAR(A205)-YEAR('01_習慣設計'!$B$6))*12+MONTH(A205)-MONTH('01_習慣設計'!$B$6)+1</f>
        <v>7</v>
      </c>
      <c r="E205" s="12"/>
      <c r="F205" s="3"/>
      <c r="G205" s="3"/>
      <c r="H205" s="41">
        <f t="shared" si="2"/>
        <v>0</v>
      </c>
    </row>
    <row r="206" ht="21.75" customHeight="1">
      <c r="A206" s="42">
        <v>46398.0</v>
      </c>
      <c r="B206" s="41" t="str">
        <f t="shared" si="1"/>
        <v>月</v>
      </c>
      <c r="C206" s="41">
        <f>ROUNDUP((A206-'01_習慣設計'!$B$6+1)/7,0)</f>
        <v>28</v>
      </c>
      <c r="D206" s="41">
        <f>(YEAR(A206)-YEAR('01_習慣設計'!$B$6))*12+MONTH(A206)-MONTH('01_習慣設計'!$B$6)+1</f>
        <v>7</v>
      </c>
      <c r="E206" s="12"/>
      <c r="F206" s="3"/>
      <c r="G206" s="3"/>
      <c r="H206" s="41">
        <f t="shared" si="2"/>
        <v>0</v>
      </c>
    </row>
    <row r="207" ht="21.75" customHeight="1">
      <c r="A207" s="42">
        <v>46399.0</v>
      </c>
      <c r="B207" s="41" t="str">
        <f t="shared" si="1"/>
        <v>火</v>
      </c>
      <c r="C207" s="41">
        <f>ROUNDUP((A207-'01_習慣設計'!$B$6+1)/7,0)</f>
        <v>28</v>
      </c>
      <c r="D207" s="41">
        <f>(YEAR(A207)-YEAR('01_習慣設計'!$B$6))*12+MONTH(A207)-MONTH('01_習慣設計'!$B$6)+1</f>
        <v>7</v>
      </c>
      <c r="E207" s="12"/>
      <c r="F207" s="3"/>
      <c r="G207" s="3"/>
      <c r="H207" s="41">
        <f t="shared" si="2"/>
        <v>0</v>
      </c>
    </row>
    <row r="208" ht="21.75" customHeight="1">
      <c r="A208" s="42">
        <v>46400.0</v>
      </c>
      <c r="B208" s="41" t="str">
        <f t="shared" si="1"/>
        <v>水</v>
      </c>
      <c r="C208" s="41">
        <f>ROUNDUP((A208-'01_習慣設計'!$B$6+1)/7,0)</f>
        <v>29</v>
      </c>
      <c r="D208" s="41">
        <f>(YEAR(A208)-YEAR('01_習慣設計'!$B$6))*12+MONTH(A208)-MONTH('01_習慣設計'!$B$6)+1</f>
        <v>7</v>
      </c>
      <c r="E208" s="12"/>
      <c r="F208" s="3"/>
      <c r="G208" s="3"/>
      <c r="H208" s="41">
        <f t="shared" si="2"/>
        <v>0</v>
      </c>
    </row>
    <row r="209" ht="21.75" customHeight="1">
      <c r="A209" s="42">
        <v>46401.0</v>
      </c>
      <c r="B209" s="41" t="str">
        <f t="shared" si="1"/>
        <v>木</v>
      </c>
      <c r="C209" s="41">
        <f>ROUNDUP((A209-'01_習慣設計'!$B$6+1)/7,0)</f>
        <v>29</v>
      </c>
      <c r="D209" s="41">
        <f>(YEAR(A209)-YEAR('01_習慣設計'!$B$6))*12+MONTH(A209)-MONTH('01_習慣設計'!$B$6)+1</f>
        <v>7</v>
      </c>
      <c r="E209" s="12"/>
      <c r="F209" s="3"/>
      <c r="G209" s="3"/>
      <c r="H209" s="41">
        <f t="shared" si="2"/>
        <v>0</v>
      </c>
    </row>
    <row r="210" ht="21.75" customHeight="1">
      <c r="A210" s="42">
        <v>46402.0</v>
      </c>
      <c r="B210" s="41" t="str">
        <f t="shared" si="1"/>
        <v>金</v>
      </c>
      <c r="C210" s="41">
        <f>ROUNDUP((A210-'01_習慣設計'!$B$6+1)/7,0)</f>
        <v>29</v>
      </c>
      <c r="D210" s="41">
        <f>(YEAR(A210)-YEAR('01_習慣設計'!$B$6))*12+MONTH(A210)-MONTH('01_習慣設計'!$B$6)+1</f>
        <v>7</v>
      </c>
      <c r="E210" s="12"/>
      <c r="F210" s="3"/>
      <c r="G210" s="3"/>
      <c r="H210" s="41">
        <f t="shared" si="2"/>
        <v>0</v>
      </c>
    </row>
    <row r="211" ht="21.75" customHeight="1">
      <c r="A211" s="42">
        <v>46403.0</v>
      </c>
      <c r="B211" s="41" t="str">
        <f t="shared" si="1"/>
        <v>土</v>
      </c>
      <c r="C211" s="41">
        <f>ROUNDUP((A211-'01_習慣設計'!$B$6+1)/7,0)</f>
        <v>29</v>
      </c>
      <c r="D211" s="41">
        <f>(YEAR(A211)-YEAR('01_習慣設計'!$B$6))*12+MONTH(A211)-MONTH('01_習慣設計'!$B$6)+1</f>
        <v>7</v>
      </c>
      <c r="E211" s="12"/>
      <c r="F211" s="3"/>
      <c r="G211" s="3"/>
      <c r="H211" s="41">
        <f t="shared" si="2"/>
        <v>0</v>
      </c>
    </row>
    <row r="212" ht="21.75" customHeight="1">
      <c r="A212" s="42">
        <v>46404.0</v>
      </c>
      <c r="B212" s="41" t="str">
        <f t="shared" si="1"/>
        <v>日</v>
      </c>
      <c r="C212" s="41">
        <f>ROUNDUP((A212-'01_習慣設計'!$B$6+1)/7,0)</f>
        <v>29</v>
      </c>
      <c r="D212" s="41">
        <f>(YEAR(A212)-YEAR('01_習慣設計'!$B$6))*12+MONTH(A212)-MONTH('01_習慣設計'!$B$6)+1</f>
        <v>7</v>
      </c>
      <c r="E212" s="12"/>
      <c r="F212" s="3"/>
      <c r="G212" s="3"/>
      <c r="H212" s="41">
        <f t="shared" si="2"/>
        <v>0</v>
      </c>
    </row>
    <row r="213" ht="21.75" customHeight="1">
      <c r="A213" s="42">
        <v>46405.0</v>
      </c>
      <c r="B213" s="41" t="str">
        <f t="shared" si="1"/>
        <v>月</v>
      </c>
      <c r="C213" s="41">
        <f>ROUNDUP((A213-'01_習慣設計'!$B$6+1)/7,0)</f>
        <v>29</v>
      </c>
      <c r="D213" s="41">
        <f>(YEAR(A213)-YEAR('01_習慣設計'!$B$6))*12+MONTH(A213)-MONTH('01_習慣設計'!$B$6)+1</f>
        <v>7</v>
      </c>
      <c r="E213" s="12"/>
      <c r="F213" s="3"/>
      <c r="G213" s="3"/>
      <c r="H213" s="41">
        <f t="shared" si="2"/>
        <v>0</v>
      </c>
    </row>
    <row r="214" ht="21.75" customHeight="1">
      <c r="A214" s="42">
        <v>46406.0</v>
      </c>
      <c r="B214" s="41" t="str">
        <f t="shared" si="1"/>
        <v>火</v>
      </c>
      <c r="C214" s="41">
        <f>ROUNDUP((A214-'01_習慣設計'!$B$6+1)/7,0)</f>
        <v>29</v>
      </c>
      <c r="D214" s="41">
        <f>(YEAR(A214)-YEAR('01_習慣設計'!$B$6))*12+MONTH(A214)-MONTH('01_習慣設計'!$B$6)+1</f>
        <v>7</v>
      </c>
      <c r="E214" s="12"/>
      <c r="F214" s="3"/>
      <c r="G214" s="3"/>
      <c r="H214" s="41">
        <f t="shared" si="2"/>
        <v>0</v>
      </c>
    </row>
    <row r="215" ht="21.75" customHeight="1">
      <c r="A215" s="42">
        <v>46407.0</v>
      </c>
      <c r="B215" s="41" t="str">
        <f t="shared" si="1"/>
        <v>水</v>
      </c>
      <c r="C215" s="41">
        <f>ROUNDUP((A215-'01_習慣設計'!$B$6+1)/7,0)</f>
        <v>30</v>
      </c>
      <c r="D215" s="41">
        <f>(YEAR(A215)-YEAR('01_習慣設計'!$B$6))*12+MONTH(A215)-MONTH('01_習慣設計'!$B$6)+1</f>
        <v>7</v>
      </c>
      <c r="E215" s="12"/>
      <c r="F215" s="3"/>
      <c r="G215" s="3"/>
      <c r="H215" s="41">
        <f t="shared" si="2"/>
        <v>0</v>
      </c>
    </row>
    <row r="216" ht="21.75" customHeight="1">
      <c r="A216" s="42">
        <v>46408.0</v>
      </c>
      <c r="B216" s="41" t="str">
        <f t="shared" si="1"/>
        <v>木</v>
      </c>
      <c r="C216" s="41">
        <f>ROUNDUP((A216-'01_習慣設計'!$B$6+1)/7,0)</f>
        <v>30</v>
      </c>
      <c r="D216" s="41">
        <f>(YEAR(A216)-YEAR('01_習慣設計'!$B$6))*12+MONTH(A216)-MONTH('01_習慣設計'!$B$6)+1</f>
        <v>7</v>
      </c>
      <c r="E216" s="12"/>
      <c r="F216" s="3"/>
      <c r="G216" s="3"/>
      <c r="H216" s="41">
        <f t="shared" si="2"/>
        <v>0</v>
      </c>
    </row>
    <row r="217" ht="21.75" customHeight="1">
      <c r="A217" s="42">
        <v>46409.0</v>
      </c>
      <c r="B217" s="41" t="str">
        <f t="shared" si="1"/>
        <v>金</v>
      </c>
      <c r="C217" s="41">
        <f>ROUNDUP((A217-'01_習慣設計'!$B$6+1)/7,0)</f>
        <v>30</v>
      </c>
      <c r="D217" s="41">
        <f>(YEAR(A217)-YEAR('01_習慣設計'!$B$6))*12+MONTH(A217)-MONTH('01_習慣設計'!$B$6)+1</f>
        <v>7</v>
      </c>
      <c r="E217" s="12"/>
      <c r="F217" s="3"/>
      <c r="G217" s="3"/>
      <c r="H217" s="41">
        <f t="shared" si="2"/>
        <v>0</v>
      </c>
    </row>
    <row r="218" ht="21.75" customHeight="1">
      <c r="A218" s="42">
        <v>46410.0</v>
      </c>
      <c r="B218" s="41" t="str">
        <f t="shared" si="1"/>
        <v>土</v>
      </c>
      <c r="C218" s="41">
        <f>ROUNDUP((A218-'01_習慣設計'!$B$6+1)/7,0)</f>
        <v>30</v>
      </c>
      <c r="D218" s="41">
        <f>(YEAR(A218)-YEAR('01_習慣設計'!$B$6))*12+MONTH(A218)-MONTH('01_習慣設計'!$B$6)+1</f>
        <v>7</v>
      </c>
      <c r="E218" s="12"/>
      <c r="F218" s="3"/>
      <c r="G218" s="3"/>
      <c r="H218" s="41">
        <f t="shared" si="2"/>
        <v>0</v>
      </c>
    </row>
    <row r="219" ht="21.75" customHeight="1">
      <c r="A219" s="42">
        <v>46411.0</v>
      </c>
      <c r="B219" s="41" t="str">
        <f t="shared" si="1"/>
        <v>日</v>
      </c>
      <c r="C219" s="41">
        <f>ROUNDUP((A219-'01_習慣設計'!$B$6+1)/7,0)</f>
        <v>30</v>
      </c>
      <c r="D219" s="41">
        <f>(YEAR(A219)-YEAR('01_習慣設計'!$B$6))*12+MONTH(A219)-MONTH('01_習慣設計'!$B$6)+1</f>
        <v>7</v>
      </c>
      <c r="E219" s="12"/>
      <c r="F219" s="3"/>
      <c r="G219" s="3"/>
      <c r="H219" s="41">
        <f t="shared" si="2"/>
        <v>0</v>
      </c>
    </row>
    <row r="220" ht="21.75" customHeight="1">
      <c r="A220" s="42">
        <v>46412.0</v>
      </c>
      <c r="B220" s="41" t="str">
        <f t="shared" si="1"/>
        <v>月</v>
      </c>
      <c r="C220" s="41">
        <f>ROUNDUP((A220-'01_習慣設計'!$B$6+1)/7,0)</f>
        <v>30</v>
      </c>
      <c r="D220" s="41">
        <f>(YEAR(A220)-YEAR('01_習慣設計'!$B$6))*12+MONTH(A220)-MONTH('01_習慣設計'!$B$6)+1</f>
        <v>7</v>
      </c>
      <c r="E220" s="12"/>
      <c r="F220" s="3"/>
      <c r="G220" s="3"/>
      <c r="H220" s="41">
        <f t="shared" si="2"/>
        <v>0</v>
      </c>
    </row>
    <row r="221" ht="21.75" customHeight="1">
      <c r="A221" s="42">
        <v>46413.0</v>
      </c>
      <c r="B221" s="41" t="str">
        <f t="shared" si="1"/>
        <v>火</v>
      </c>
      <c r="C221" s="41">
        <f>ROUNDUP((A221-'01_習慣設計'!$B$6+1)/7,0)</f>
        <v>30</v>
      </c>
      <c r="D221" s="41">
        <f>(YEAR(A221)-YEAR('01_習慣設計'!$B$6))*12+MONTH(A221)-MONTH('01_習慣設計'!$B$6)+1</f>
        <v>7</v>
      </c>
      <c r="E221" s="12"/>
      <c r="F221" s="3"/>
      <c r="G221" s="3"/>
      <c r="H221" s="41">
        <f t="shared" si="2"/>
        <v>0</v>
      </c>
    </row>
    <row r="222" ht="21.75" customHeight="1">
      <c r="A222" s="42">
        <v>46414.0</v>
      </c>
      <c r="B222" s="41" t="str">
        <f t="shared" si="1"/>
        <v>水</v>
      </c>
      <c r="C222" s="41">
        <f>ROUNDUP((A222-'01_習慣設計'!$B$6+1)/7,0)</f>
        <v>31</v>
      </c>
      <c r="D222" s="41">
        <f>(YEAR(A222)-YEAR('01_習慣設計'!$B$6))*12+MONTH(A222)-MONTH('01_習慣設計'!$B$6)+1</f>
        <v>7</v>
      </c>
      <c r="E222" s="12"/>
      <c r="F222" s="3"/>
      <c r="G222" s="3"/>
      <c r="H222" s="41">
        <f t="shared" si="2"/>
        <v>0</v>
      </c>
    </row>
    <row r="223" ht="21.75" customHeight="1">
      <c r="A223" s="42">
        <v>46415.0</v>
      </c>
      <c r="B223" s="41" t="str">
        <f t="shared" si="1"/>
        <v>木</v>
      </c>
      <c r="C223" s="41">
        <f>ROUNDUP((A223-'01_習慣設計'!$B$6+1)/7,0)</f>
        <v>31</v>
      </c>
      <c r="D223" s="41">
        <f>(YEAR(A223)-YEAR('01_習慣設計'!$B$6))*12+MONTH(A223)-MONTH('01_習慣設計'!$B$6)+1</f>
        <v>7</v>
      </c>
      <c r="E223" s="12"/>
      <c r="F223" s="3"/>
      <c r="G223" s="3"/>
      <c r="H223" s="41">
        <f t="shared" si="2"/>
        <v>0</v>
      </c>
    </row>
    <row r="224" ht="21.75" customHeight="1">
      <c r="A224" s="42">
        <v>46416.0</v>
      </c>
      <c r="B224" s="41" t="str">
        <f t="shared" si="1"/>
        <v>金</v>
      </c>
      <c r="C224" s="41">
        <f>ROUNDUP((A224-'01_習慣設計'!$B$6+1)/7,0)</f>
        <v>31</v>
      </c>
      <c r="D224" s="41">
        <f>(YEAR(A224)-YEAR('01_習慣設計'!$B$6))*12+MONTH(A224)-MONTH('01_習慣設計'!$B$6)+1</f>
        <v>7</v>
      </c>
      <c r="E224" s="12"/>
      <c r="F224" s="3"/>
      <c r="G224" s="3"/>
      <c r="H224" s="41">
        <f t="shared" si="2"/>
        <v>0</v>
      </c>
    </row>
    <row r="225" ht="21.75" customHeight="1">
      <c r="A225" s="42">
        <v>46417.0</v>
      </c>
      <c r="B225" s="41" t="str">
        <f t="shared" si="1"/>
        <v>土</v>
      </c>
      <c r="C225" s="41">
        <f>ROUNDUP((A225-'01_習慣設計'!$B$6+1)/7,0)</f>
        <v>31</v>
      </c>
      <c r="D225" s="41">
        <f>(YEAR(A225)-YEAR('01_習慣設計'!$B$6))*12+MONTH(A225)-MONTH('01_習慣設計'!$B$6)+1</f>
        <v>7</v>
      </c>
      <c r="E225" s="12"/>
      <c r="F225" s="3"/>
      <c r="G225" s="3"/>
      <c r="H225" s="41">
        <f t="shared" si="2"/>
        <v>0</v>
      </c>
    </row>
    <row r="226" ht="21.75" customHeight="1">
      <c r="A226" s="42">
        <v>46418.0</v>
      </c>
      <c r="B226" s="41" t="str">
        <f t="shared" si="1"/>
        <v>日</v>
      </c>
      <c r="C226" s="41">
        <f>ROUNDUP((A226-'01_習慣設計'!$B$6+1)/7,0)</f>
        <v>31</v>
      </c>
      <c r="D226" s="41">
        <f>(YEAR(A226)-YEAR('01_習慣設計'!$B$6))*12+MONTH(A226)-MONTH('01_習慣設計'!$B$6)+1</f>
        <v>7</v>
      </c>
      <c r="E226" s="12"/>
      <c r="F226" s="3"/>
      <c r="G226" s="3"/>
      <c r="H226" s="41">
        <f t="shared" si="2"/>
        <v>0</v>
      </c>
    </row>
    <row r="227" ht="21.75" customHeight="1">
      <c r="A227" s="42">
        <v>46419.0</v>
      </c>
      <c r="B227" s="41" t="str">
        <f t="shared" si="1"/>
        <v>月</v>
      </c>
      <c r="C227" s="41">
        <f>ROUNDUP((A227-'01_習慣設計'!$B$6+1)/7,0)</f>
        <v>31</v>
      </c>
      <c r="D227" s="41">
        <f>(YEAR(A227)-YEAR('01_習慣設計'!$B$6))*12+MONTH(A227)-MONTH('01_習慣設計'!$B$6)+1</f>
        <v>8</v>
      </c>
      <c r="E227" s="12"/>
      <c r="F227" s="3"/>
      <c r="G227" s="3"/>
      <c r="H227" s="41">
        <f t="shared" si="2"/>
        <v>0</v>
      </c>
    </row>
    <row r="228" ht="21.75" customHeight="1">
      <c r="A228" s="42">
        <v>46420.0</v>
      </c>
      <c r="B228" s="41" t="str">
        <f t="shared" si="1"/>
        <v>火</v>
      </c>
      <c r="C228" s="41">
        <f>ROUNDUP((A228-'01_習慣設計'!$B$6+1)/7,0)</f>
        <v>31</v>
      </c>
      <c r="D228" s="41">
        <f>(YEAR(A228)-YEAR('01_習慣設計'!$B$6))*12+MONTH(A228)-MONTH('01_習慣設計'!$B$6)+1</f>
        <v>8</v>
      </c>
      <c r="E228" s="12"/>
      <c r="F228" s="3"/>
      <c r="G228" s="3"/>
      <c r="H228" s="41">
        <f t="shared" si="2"/>
        <v>0</v>
      </c>
    </row>
    <row r="229" ht="21.75" customHeight="1">
      <c r="A229" s="42">
        <v>46421.0</v>
      </c>
      <c r="B229" s="41" t="str">
        <f t="shared" si="1"/>
        <v>水</v>
      </c>
      <c r="C229" s="41">
        <f>ROUNDUP((A229-'01_習慣設計'!$B$6+1)/7,0)</f>
        <v>32</v>
      </c>
      <c r="D229" s="41">
        <f>(YEAR(A229)-YEAR('01_習慣設計'!$B$6))*12+MONTH(A229)-MONTH('01_習慣設計'!$B$6)+1</f>
        <v>8</v>
      </c>
      <c r="E229" s="12"/>
      <c r="F229" s="3"/>
      <c r="G229" s="3"/>
      <c r="H229" s="41">
        <f t="shared" si="2"/>
        <v>0</v>
      </c>
    </row>
    <row r="230" ht="21.75" customHeight="1">
      <c r="A230" s="42">
        <v>46422.0</v>
      </c>
      <c r="B230" s="41" t="str">
        <f t="shared" si="1"/>
        <v>木</v>
      </c>
      <c r="C230" s="41">
        <f>ROUNDUP((A230-'01_習慣設計'!$B$6+1)/7,0)</f>
        <v>32</v>
      </c>
      <c r="D230" s="41">
        <f>(YEAR(A230)-YEAR('01_習慣設計'!$B$6))*12+MONTH(A230)-MONTH('01_習慣設計'!$B$6)+1</f>
        <v>8</v>
      </c>
      <c r="E230" s="12"/>
      <c r="F230" s="3"/>
      <c r="G230" s="3"/>
      <c r="H230" s="41">
        <f t="shared" si="2"/>
        <v>0</v>
      </c>
    </row>
    <row r="231" ht="21.75" customHeight="1">
      <c r="A231" s="42">
        <v>46423.0</v>
      </c>
      <c r="B231" s="41" t="str">
        <f t="shared" si="1"/>
        <v>金</v>
      </c>
      <c r="C231" s="41">
        <f>ROUNDUP((A231-'01_習慣設計'!$B$6+1)/7,0)</f>
        <v>32</v>
      </c>
      <c r="D231" s="41">
        <f>(YEAR(A231)-YEAR('01_習慣設計'!$B$6))*12+MONTH(A231)-MONTH('01_習慣設計'!$B$6)+1</f>
        <v>8</v>
      </c>
      <c r="E231" s="12"/>
      <c r="F231" s="3"/>
      <c r="G231" s="3"/>
      <c r="H231" s="41">
        <f t="shared" si="2"/>
        <v>0</v>
      </c>
    </row>
    <row r="232" ht="21.75" customHeight="1">
      <c r="A232" s="42">
        <v>46424.0</v>
      </c>
      <c r="B232" s="41" t="str">
        <f t="shared" si="1"/>
        <v>土</v>
      </c>
      <c r="C232" s="41">
        <f>ROUNDUP((A232-'01_習慣設計'!$B$6+1)/7,0)</f>
        <v>32</v>
      </c>
      <c r="D232" s="41">
        <f>(YEAR(A232)-YEAR('01_習慣設計'!$B$6))*12+MONTH(A232)-MONTH('01_習慣設計'!$B$6)+1</f>
        <v>8</v>
      </c>
      <c r="E232" s="12"/>
      <c r="F232" s="3"/>
      <c r="G232" s="3"/>
      <c r="H232" s="41">
        <f t="shared" si="2"/>
        <v>0</v>
      </c>
    </row>
    <row r="233" ht="21.75" customHeight="1">
      <c r="A233" s="42">
        <v>46425.0</v>
      </c>
      <c r="B233" s="41" t="str">
        <f t="shared" si="1"/>
        <v>日</v>
      </c>
      <c r="C233" s="41">
        <f>ROUNDUP((A233-'01_習慣設計'!$B$6+1)/7,0)</f>
        <v>32</v>
      </c>
      <c r="D233" s="41">
        <f>(YEAR(A233)-YEAR('01_習慣設計'!$B$6))*12+MONTH(A233)-MONTH('01_習慣設計'!$B$6)+1</f>
        <v>8</v>
      </c>
      <c r="E233" s="12"/>
      <c r="F233" s="3"/>
      <c r="G233" s="3"/>
      <c r="H233" s="41">
        <f t="shared" si="2"/>
        <v>0</v>
      </c>
    </row>
    <row r="234" ht="21.75" customHeight="1">
      <c r="A234" s="42">
        <v>46426.0</v>
      </c>
      <c r="B234" s="41" t="str">
        <f t="shared" si="1"/>
        <v>月</v>
      </c>
      <c r="C234" s="41">
        <f>ROUNDUP((A234-'01_習慣設計'!$B$6+1)/7,0)</f>
        <v>32</v>
      </c>
      <c r="D234" s="41">
        <f>(YEAR(A234)-YEAR('01_習慣設計'!$B$6))*12+MONTH(A234)-MONTH('01_習慣設計'!$B$6)+1</f>
        <v>8</v>
      </c>
      <c r="E234" s="12"/>
      <c r="F234" s="3"/>
      <c r="G234" s="3"/>
      <c r="H234" s="41">
        <f t="shared" si="2"/>
        <v>0</v>
      </c>
    </row>
    <row r="235" ht="21.75" customHeight="1">
      <c r="A235" s="42">
        <v>46427.0</v>
      </c>
      <c r="B235" s="41" t="str">
        <f t="shared" si="1"/>
        <v>火</v>
      </c>
      <c r="C235" s="41">
        <f>ROUNDUP((A235-'01_習慣設計'!$B$6+1)/7,0)</f>
        <v>32</v>
      </c>
      <c r="D235" s="41">
        <f>(YEAR(A235)-YEAR('01_習慣設計'!$B$6))*12+MONTH(A235)-MONTH('01_習慣設計'!$B$6)+1</f>
        <v>8</v>
      </c>
      <c r="E235" s="12"/>
      <c r="F235" s="3"/>
      <c r="G235" s="3"/>
      <c r="H235" s="41">
        <f t="shared" si="2"/>
        <v>0</v>
      </c>
    </row>
    <row r="236" ht="21.75" customHeight="1">
      <c r="A236" s="42">
        <v>46428.0</v>
      </c>
      <c r="B236" s="41" t="str">
        <f t="shared" si="1"/>
        <v>水</v>
      </c>
      <c r="C236" s="41">
        <f>ROUNDUP((A236-'01_習慣設計'!$B$6+1)/7,0)</f>
        <v>33</v>
      </c>
      <c r="D236" s="41">
        <f>(YEAR(A236)-YEAR('01_習慣設計'!$B$6))*12+MONTH(A236)-MONTH('01_習慣設計'!$B$6)+1</f>
        <v>8</v>
      </c>
      <c r="E236" s="12"/>
      <c r="F236" s="3"/>
      <c r="G236" s="3"/>
      <c r="H236" s="41">
        <f t="shared" si="2"/>
        <v>0</v>
      </c>
    </row>
    <row r="237" ht="21.75" customHeight="1">
      <c r="A237" s="42">
        <v>46429.0</v>
      </c>
      <c r="B237" s="41" t="str">
        <f t="shared" si="1"/>
        <v>木</v>
      </c>
      <c r="C237" s="41">
        <f>ROUNDUP((A237-'01_習慣設計'!$B$6+1)/7,0)</f>
        <v>33</v>
      </c>
      <c r="D237" s="41">
        <f>(YEAR(A237)-YEAR('01_習慣設計'!$B$6))*12+MONTH(A237)-MONTH('01_習慣設計'!$B$6)+1</f>
        <v>8</v>
      </c>
      <c r="E237" s="12"/>
      <c r="F237" s="3"/>
      <c r="G237" s="3"/>
      <c r="H237" s="41">
        <f t="shared" si="2"/>
        <v>0</v>
      </c>
    </row>
    <row r="238" ht="21.75" customHeight="1">
      <c r="A238" s="42">
        <v>46430.0</v>
      </c>
      <c r="B238" s="41" t="str">
        <f t="shared" si="1"/>
        <v>金</v>
      </c>
      <c r="C238" s="41">
        <f>ROUNDUP((A238-'01_習慣設計'!$B$6+1)/7,0)</f>
        <v>33</v>
      </c>
      <c r="D238" s="41">
        <f>(YEAR(A238)-YEAR('01_習慣設計'!$B$6))*12+MONTH(A238)-MONTH('01_習慣設計'!$B$6)+1</f>
        <v>8</v>
      </c>
      <c r="E238" s="12"/>
      <c r="F238" s="3"/>
      <c r="G238" s="3"/>
      <c r="H238" s="41">
        <f t="shared" si="2"/>
        <v>0</v>
      </c>
    </row>
    <row r="239" ht="21.75" customHeight="1">
      <c r="A239" s="42">
        <v>46431.0</v>
      </c>
      <c r="B239" s="41" t="str">
        <f t="shared" si="1"/>
        <v>土</v>
      </c>
      <c r="C239" s="41">
        <f>ROUNDUP((A239-'01_習慣設計'!$B$6+1)/7,0)</f>
        <v>33</v>
      </c>
      <c r="D239" s="41">
        <f>(YEAR(A239)-YEAR('01_習慣設計'!$B$6))*12+MONTH(A239)-MONTH('01_習慣設計'!$B$6)+1</f>
        <v>8</v>
      </c>
      <c r="E239" s="12"/>
      <c r="F239" s="3"/>
      <c r="G239" s="3"/>
      <c r="H239" s="41">
        <f t="shared" si="2"/>
        <v>0</v>
      </c>
    </row>
    <row r="240" ht="21.75" customHeight="1">
      <c r="A240" s="42">
        <v>46432.0</v>
      </c>
      <c r="B240" s="41" t="str">
        <f t="shared" si="1"/>
        <v>日</v>
      </c>
      <c r="C240" s="41">
        <f>ROUNDUP((A240-'01_習慣設計'!$B$6+1)/7,0)</f>
        <v>33</v>
      </c>
      <c r="D240" s="41">
        <f>(YEAR(A240)-YEAR('01_習慣設計'!$B$6))*12+MONTH(A240)-MONTH('01_習慣設計'!$B$6)+1</f>
        <v>8</v>
      </c>
      <c r="E240" s="12"/>
      <c r="F240" s="3"/>
      <c r="G240" s="3"/>
      <c r="H240" s="41">
        <f t="shared" si="2"/>
        <v>0</v>
      </c>
    </row>
    <row r="241" ht="21.75" customHeight="1">
      <c r="A241" s="42">
        <v>46433.0</v>
      </c>
      <c r="B241" s="41" t="str">
        <f t="shared" si="1"/>
        <v>月</v>
      </c>
      <c r="C241" s="41">
        <f>ROUNDUP((A241-'01_習慣設計'!$B$6+1)/7,0)</f>
        <v>33</v>
      </c>
      <c r="D241" s="41">
        <f>(YEAR(A241)-YEAR('01_習慣設計'!$B$6))*12+MONTH(A241)-MONTH('01_習慣設計'!$B$6)+1</f>
        <v>8</v>
      </c>
      <c r="E241" s="12"/>
      <c r="F241" s="3"/>
      <c r="G241" s="3"/>
      <c r="H241" s="41">
        <f t="shared" si="2"/>
        <v>0</v>
      </c>
    </row>
    <row r="242" ht="21.75" customHeight="1">
      <c r="A242" s="42">
        <v>46434.0</v>
      </c>
      <c r="B242" s="41" t="str">
        <f t="shared" si="1"/>
        <v>火</v>
      </c>
      <c r="C242" s="41">
        <f>ROUNDUP((A242-'01_習慣設計'!$B$6+1)/7,0)</f>
        <v>33</v>
      </c>
      <c r="D242" s="41">
        <f>(YEAR(A242)-YEAR('01_習慣設計'!$B$6))*12+MONTH(A242)-MONTH('01_習慣設計'!$B$6)+1</f>
        <v>8</v>
      </c>
      <c r="E242" s="12"/>
      <c r="F242" s="3"/>
      <c r="G242" s="3"/>
      <c r="H242" s="41">
        <f t="shared" si="2"/>
        <v>0</v>
      </c>
    </row>
    <row r="243" ht="21.75" customHeight="1">
      <c r="A243" s="42">
        <v>46435.0</v>
      </c>
      <c r="B243" s="41" t="str">
        <f t="shared" si="1"/>
        <v>水</v>
      </c>
      <c r="C243" s="41">
        <f>ROUNDUP((A243-'01_習慣設計'!$B$6+1)/7,0)</f>
        <v>34</v>
      </c>
      <c r="D243" s="41">
        <f>(YEAR(A243)-YEAR('01_習慣設計'!$B$6))*12+MONTH(A243)-MONTH('01_習慣設計'!$B$6)+1</f>
        <v>8</v>
      </c>
      <c r="E243" s="12"/>
      <c r="F243" s="3"/>
      <c r="G243" s="3"/>
      <c r="H243" s="41">
        <f t="shared" si="2"/>
        <v>0</v>
      </c>
    </row>
    <row r="244" ht="21.75" customHeight="1">
      <c r="A244" s="42">
        <v>46436.0</v>
      </c>
      <c r="B244" s="41" t="str">
        <f t="shared" si="1"/>
        <v>木</v>
      </c>
      <c r="C244" s="41">
        <f>ROUNDUP((A244-'01_習慣設計'!$B$6+1)/7,0)</f>
        <v>34</v>
      </c>
      <c r="D244" s="41">
        <f>(YEAR(A244)-YEAR('01_習慣設計'!$B$6))*12+MONTH(A244)-MONTH('01_習慣設計'!$B$6)+1</f>
        <v>8</v>
      </c>
      <c r="E244" s="12"/>
      <c r="F244" s="3"/>
      <c r="G244" s="3"/>
      <c r="H244" s="41">
        <f t="shared" si="2"/>
        <v>0</v>
      </c>
    </row>
    <row r="245" ht="21.75" customHeight="1">
      <c r="A245" s="42">
        <v>46437.0</v>
      </c>
      <c r="B245" s="41" t="str">
        <f t="shared" si="1"/>
        <v>金</v>
      </c>
      <c r="C245" s="41">
        <f>ROUNDUP((A245-'01_習慣設計'!$B$6+1)/7,0)</f>
        <v>34</v>
      </c>
      <c r="D245" s="41">
        <f>(YEAR(A245)-YEAR('01_習慣設計'!$B$6))*12+MONTH(A245)-MONTH('01_習慣設計'!$B$6)+1</f>
        <v>8</v>
      </c>
      <c r="E245" s="12"/>
      <c r="F245" s="3"/>
      <c r="G245" s="3"/>
      <c r="H245" s="41">
        <f t="shared" si="2"/>
        <v>0</v>
      </c>
    </row>
    <row r="246" ht="21.75" customHeight="1">
      <c r="A246" s="42">
        <v>46438.0</v>
      </c>
      <c r="B246" s="41" t="str">
        <f t="shared" si="1"/>
        <v>土</v>
      </c>
      <c r="C246" s="41">
        <f>ROUNDUP((A246-'01_習慣設計'!$B$6+1)/7,0)</f>
        <v>34</v>
      </c>
      <c r="D246" s="41">
        <f>(YEAR(A246)-YEAR('01_習慣設計'!$B$6))*12+MONTH(A246)-MONTH('01_習慣設計'!$B$6)+1</f>
        <v>8</v>
      </c>
      <c r="E246" s="12"/>
      <c r="F246" s="3"/>
      <c r="G246" s="3"/>
      <c r="H246" s="41">
        <f t="shared" si="2"/>
        <v>0</v>
      </c>
    </row>
    <row r="247" ht="21.75" customHeight="1">
      <c r="A247" s="42">
        <v>46439.0</v>
      </c>
      <c r="B247" s="41" t="str">
        <f t="shared" si="1"/>
        <v>日</v>
      </c>
      <c r="C247" s="41">
        <f>ROUNDUP((A247-'01_習慣設計'!$B$6+1)/7,0)</f>
        <v>34</v>
      </c>
      <c r="D247" s="41">
        <f>(YEAR(A247)-YEAR('01_習慣設計'!$B$6))*12+MONTH(A247)-MONTH('01_習慣設計'!$B$6)+1</f>
        <v>8</v>
      </c>
      <c r="E247" s="12"/>
      <c r="F247" s="3"/>
      <c r="G247" s="3"/>
      <c r="H247" s="41">
        <f t="shared" si="2"/>
        <v>0</v>
      </c>
    </row>
    <row r="248" ht="21.75" customHeight="1">
      <c r="A248" s="42">
        <v>46440.0</v>
      </c>
      <c r="B248" s="41" t="str">
        <f t="shared" si="1"/>
        <v>月</v>
      </c>
      <c r="C248" s="41">
        <f>ROUNDUP((A248-'01_習慣設計'!$B$6+1)/7,0)</f>
        <v>34</v>
      </c>
      <c r="D248" s="41">
        <f>(YEAR(A248)-YEAR('01_習慣設計'!$B$6))*12+MONTH(A248)-MONTH('01_習慣設計'!$B$6)+1</f>
        <v>8</v>
      </c>
      <c r="E248" s="12"/>
      <c r="F248" s="3"/>
      <c r="G248" s="3"/>
      <c r="H248" s="41">
        <f t="shared" si="2"/>
        <v>0</v>
      </c>
    </row>
    <row r="249" ht="21.75" customHeight="1">
      <c r="A249" s="42">
        <v>46441.0</v>
      </c>
      <c r="B249" s="41" t="str">
        <f t="shared" si="1"/>
        <v>火</v>
      </c>
      <c r="C249" s="41">
        <f>ROUNDUP((A249-'01_習慣設計'!$B$6+1)/7,0)</f>
        <v>34</v>
      </c>
      <c r="D249" s="41">
        <f>(YEAR(A249)-YEAR('01_習慣設計'!$B$6))*12+MONTH(A249)-MONTH('01_習慣設計'!$B$6)+1</f>
        <v>8</v>
      </c>
      <c r="E249" s="12"/>
      <c r="F249" s="3"/>
      <c r="G249" s="3"/>
      <c r="H249" s="41">
        <f t="shared" si="2"/>
        <v>0</v>
      </c>
    </row>
    <row r="250" ht="21.75" customHeight="1">
      <c r="A250" s="42">
        <v>46442.0</v>
      </c>
      <c r="B250" s="41" t="str">
        <f t="shared" si="1"/>
        <v>水</v>
      </c>
      <c r="C250" s="41">
        <f>ROUNDUP((A250-'01_習慣設計'!$B$6+1)/7,0)</f>
        <v>35</v>
      </c>
      <c r="D250" s="41">
        <f>(YEAR(A250)-YEAR('01_習慣設計'!$B$6))*12+MONTH(A250)-MONTH('01_習慣設計'!$B$6)+1</f>
        <v>8</v>
      </c>
      <c r="E250" s="12"/>
      <c r="F250" s="3"/>
      <c r="G250" s="3"/>
      <c r="H250" s="41">
        <f t="shared" si="2"/>
        <v>0</v>
      </c>
    </row>
    <row r="251" ht="21.75" customHeight="1">
      <c r="A251" s="42">
        <v>46443.0</v>
      </c>
      <c r="B251" s="41" t="str">
        <f t="shared" si="1"/>
        <v>木</v>
      </c>
      <c r="C251" s="41">
        <f>ROUNDUP((A251-'01_習慣設計'!$B$6+1)/7,0)</f>
        <v>35</v>
      </c>
      <c r="D251" s="41">
        <f>(YEAR(A251)-YEAR('01_習慣設計'!$B$6))*12+MONTH(A251)-MONTH('01_習慣設計'!$B$6)+1</f>
        <v>8</v>
      </c>
      <c r="E251" s="12"/>
      <c r="F251" s="3"/>
      <c r="G251" s="3"/>
      <c r="H251" s="41">
        <f t="shared" si="2"/>
        <v>0</v>
      </c>
    </row>
    <row r="252" ht="21.75" customHeight="1">
      <c r="A252" s="42">
        <v>46444.0</v>
      </c>
      <c r="B252" s="41" t="str">
        <f t="shared" si="1"/>
        <v>金</v>
      </c>
      <c r="C252" s="41">
        <f>ROUNDUP((A252-'01_習慣設計'!$B$6+1)/7,0)</f>
        <v>35</v>
      </c>
      <c r="D252" s="41">
        <f>(YEAR(A252)-YEAR('01_習慣設計'!$B$6))*12+MONTH(A252)-MONTH('01_習慣設計'!$B$6)+1</f>
        <v>8</v>
      </c>
      <c r="E252" s="12"/>
      <c r="F252" s="3"/>
      <c r="G252" s="3"/>
      <c r="H252" s="41">
        <f t="shared" si="2"/>
        <v>0</v>
      </c>
    </row>
    <row r="253" ht="21.75" customHeight="1">
      <c r="A253" s="42">
        <v>46445.0</v>
      </c>
      <c r="B253" s="41" t="str">
        <f t="shared" si="1"/>
        <v>土</v>
      </c>
      <c r="C253" s="41">
        <f>ROUNDUP((A253-'01_習慣設計'!$B$6+1)/7,0)</f>
        <v>35</v>
      </c>
      <c r="D253" s="41">
        <f>(YEAR(A253)-YEAR('01_習慣設計'!$B$6))*12+MONTH(A253)-MONTH('01_習慣設計'!$B$6)+1</f>
        <v>8</v>
      </c>
      <c r="E253" s="12"/>
      <c r="F253" s="3"/>
      <c r="G253" s="3"/>
      <c r="H253" s="41">
        <f t="shared" si="2"/>
        <v>0</v>
      </c>
    </row>
    <row r="254" ht="21.75" customHeight="1">
      <c r="A254" s="42">
        <v>46446.0</v>
      </c>
      <c r="B254" s="41" t="str">
        <f t="shared" si="1"/>
        <v>日</v>
      </c>
      <c r="C254" s="41">
        <f>ROUNDUP((A254-'01_習慣設計'!$B$6+1)/7,0)</f>
        <v>35</v>
      </c>
      <c r="D254" s="41">
        <f>(YEAR(A254)-YEAR('01_習慣設計'!$B$6))*12+MONTH(A254)-MONTH('01_習慣設計'!$B$6)+1</f>
        <v>8</v>
      </c>
      <c r="E254" s="12"/>
      <c r="F254" s="3"/>
      <c r="G254" s="3"/>
      <c r="H254" s="41">
        <f t="shared" si="2"/>
        <v>0</v>
      </c>
    </row>
    <row r="255" ht="21.75" customHeight="1">
      <c r="A255" s="42">
        <v>46447.0</v>
      </c>
      <c r="B255" s="41" t="str">
        <f t="shared" si="1"/>
        <v>月</v>
      </c>
      <c r="C255" s="41">
        <f>ROUNDUP((A255-'01_習慣設計'!$B$6+1)/7,0)</f>
        <v>35</v>
      </c>
      <c r="D255" s="41">
        <f>(YEAR(A255)-YEAR('01_習慣設計'!$B$6))*12+MONTH(A255)-MONTH('01_習慣設計'!$B$6)+1</f>
        <v>9</v>
      </c>
      <c r="E255" s="12"/>
      <c r="F255" s="3"/>
      <c r="G255" s="3"/>
      <c r="H255" s="41">
        <f t="shared" si="2"/>
        <v>0</v>
      </c>
    </row>
    <row r="256" ht="21.75" customHeight="1">
      <c r="A256" s="42">
        <v>46448.0</v>
      </c>
      <c r="B256" s="41" t="str">
        <f t="shared" si="1"/>
        <v>火</v>
      </c>
      <c r="C256" s="41">
        <f>ROUNDUP((A256-'01_習慣設計'!$B$6+1)/7,0)</f>
        <v>35</v>
      </c>
      <c r="D256" s="41">
        <f>(YEAR(A256)-YEAR('01_習慣設計'!$B$6))*12+MONTH(A256)-MONTH('01_習慣設計'!$B$6)+1</f>
        <v>9</v>
      </c>
      <c r="E256" s="12"/>
      <c r="F256" s="3"/>
      <c r="G256" s="3"/>
      <c r="H256" s="41">
        <f t="shared" si="2"/>
        <v>0</v>
      </c>
    </row>
    <row r="257" ht="21.75" customHeight="1">
      <c r="A257" s="42">
        <v>46449.0</v>
      </c>
      <c r="B257" s="41" t="str">
        <f t="shared" si="1"/>
        <v>水</v>
      </c>
      <c r="C257" s="41">
        <f>ROUNDUP((A257-'01_習慣設計'!$B$6+1)/7,0)</f>
        <v>36</v>
      </c>
      <c r="D257" s="41">
        <f>(YEAR(A257)-YEAR('01_習慣設計'!$B$6))*12+MONTH(A257)-MONTH('01_習慣設計'!$B$6)+1</f>
        <v>9</v>
      </c>
      <c r="E257" s="12"/>
      <c r="F257" s="3"/>
      <c r="G257" s="3"/>
      <c r="H257" s="41">
        <f t="shared" si="2"/>
        <v>0</v>
      </c>
    </row>
    <row r="258" ht="21.75" customHeight="1">
      <c r="A258" s="42">
        <v>46450.0</v>
      </c>
      <c r="B258" s="41" t="str">
        <f t="shared" si="1"/>
        <v>木</v>
      </c>
      <c r="C258" s="41">
        <f>ROUNDUP((A258-'01_習慣設計'!$B$6+1)/7,0)</f>
        <v>36</v>
      </c>
      <c r="D258" s="41">
        <f>(YEAR(A258)-YEAR('01_習慣設計'!$B$6))*12+MONTH(A258)-MONTH('01_習慣設計'!$B$6)+1</f>
        <v>9</v>
      </c>
      <c r="E258" s="12"/>
      <c r="F258" s="3"/>
      <c r="G258" s="3"/>
      <c r="H258" s="41">
        <f t="shared" si="2"/>
        <v>0</v>
      </c>
    </row>
    <row r="259" ht="21.75" customHeight="1">
      <c r="A259" s="42">
        <v>46451.0</v>
      </c>
      <c r="B259" s="41" t="str">
        <f t="shared" si="1"/>
        <v>金</v>
      </c>
      <c r="C259" s="41">
        <f>ROUNDUP((A259-'01_習慣設計'!$B$6+1)/7,0)</f>
        <v>36</v>
      </c>
      <c r="D259" s="41">
        <f>(YEAR(A259)-YEAR('01_習慣設計'!$B$6))*12+MONTH(A259)-MONTH('01_習慣設計'!$B$6)+1</f>
        <v>9</v>
      </c>
      <c r="E259" s="12"/>
      <c r="F259" s="3"/>
      <c r="G259" s="3"/>
      <c r="H259" s="41">
        <f t="shared" si="2"/>
        <v>0</v>
      </c>
    </row>
    <row r="260" ht="21.75" customHeight="1">
      <c r="A260" s="42">
        <v>46452.0</v>
      </c>
      <c r="B260" s="41" t="str">
        <f t="shared" si="1"/>
        <v>土</v>
      </c>
      <c r="C260" s="41">
        <f>ROUNDUP((A260-'01_習慣設計'!$B$6+1)/7,0)</f>
        <v>36</v>
      </c>
      <c r="D260" s="41">
        <f>(YEAR(A260)-YEAR('01_習慣設計'!$B$6))*12+MONTH(A260)-MONTH('01_習慣設計'!$B$6)+1</f>
        <v>9</v>
      </c>
      <c r="E260" s="12"/>
      <c r="F260" s="3"/>
      <c r="G260" s="3"/>
      <c r="H260" s="41">
        <f t="shared" si="2"/>
        <v>0</v>
      </c>
    </row>
    <row r="261" ht="21.75" customHeight="1">
      <c r="A261" s="42">
        <v>46453.0</v>
      </c>
      <c r="B261" s="41" t="str">
        <f t="shared" si="1"/>
        <v>日</v>
      </c>
      <c r="C261" s="41">
        <f>ROUNDUP((A261-'01_習慣設計'!$B$6+1)/7,0)</f>
        <v>36</v>
      </c>
      <c r="D261" s="41">
        <f>(YEAR(A261)-YEAR('01_習慣設計'!$B$6))*12+MONTH(A261)-MONTH('01_習慣設計'!$B$6)+1</f>
        <v>9</v>
      </c>
      <c r="E261" s="12"/>
      <c r="F261" s="3"/>
      <c r="G261" s="3"/>
      <c r="H261" s="41">
        <f t="shared" si="2"/>
        <v>0</v>
      </c>
    </row>
    <row r="262" ht="21.75" customHeight="1">
      <c r="A262" s="42">
        <v>46454.0</v>
      </c>
      <c r="B262" s="41" t="str">
        <f t="shared" si="1"/>
        <v>月</v>
      </c>
      <c r="C262" s="41">
        <f>ROUNDUP((A262-'01_習慣設計'!$B$6+1)/7,0)</f>
        <v>36</v>
      </c>
      <c r="D262" s="41">
        <f>(YEAR(A262)-YEAR('01_習慣設計'!$B$6))*12+MONTH(A262)-MONTH('01_習慣設計'!$B$6)+1</f>
        <v>9</v>
      </c>
      <c r="E262" s="12"/>
      <c r="F262" s="3"/>
      <c r="G262" s="3"/>
      <c r="H262" s="41">
        <f t="shared" si="2"/>
        <v>0</v>
      </c>
    </row>
    <row r="263" ht="21.75" customHeight="1">
      <c r="A263" s="42">
        <v>46455.0</v>
      </c>
      <c r="B263" s="41" t="str">
        <f t="shared" si="1"/>
        <v>火</v>
      </c>
      <c r="C263" s="41">
        <f>ROUNDUP((A263-'01_習慣設計'!$B$6+1)/7,0)</f>
        <v>36</v>
      </c>
      <c r="D263" s="41">
        <f>(YEAR(A263)-YEAR('01_習慣設計'!$B$6))*12+MONTH(A263)-MONTH('01_習慣設計'!$B$6)+1</f>
        <v>9</v>
      </c>
      <c r="E263" s="12"/>
      <c r="F263" s="3"/>
      <c r="G263" s="3"/>
      <c r="H263" s="41">
        <f t="shared" si="2"/>
        <v>0</v>
      </c>
    </row>
    <row r="264" ht="21.75" customHeight="1">
      <c r="A264" s="42">
        <v>46456.0</v>
      </c>
      <c r="B264" s="41" t="str">
        <f t="shared" si="1"/>
        <v>水</v>
      </c>
      <c r="C264" s="41">
        <f>ROUNDUP((A264-'01_習慣設計'!$B$6+1)/7,0)</f>
        <v>37</v>
      </c>
      <c r="D264" s="41">
        <f>(YEAR(A264)-YEAR('01_習慣設計'!$B$6))*12+MONTH(A264)-MONTH('01_習慣設計'!$B$6)+1</f>
        <v>9</v>
      </c>
      <c r="E264" s="12"/>
      <c r="F264" s="3"/>
      <c r="G264" s="3"/>
      <c r="H264" s="41">
        <f t="shared" si="2"/>
        <v>0</v>
      </c>
    </row>
    <row r="265" ht="21.75" customHeight="1">
      <c r="A265" s="42">
        <v>46457.0</v>
      </c>
      <c r="B265" s="41" t="str">
        <f t="shared" si="1"/>
        <v>木</v>
      </c>
      <c r="C265" s="41">
        <f>ROUNDUP((A265-'01_習慣設計'!$B$6+1)/7,0)</f>
        <v>37</v>
      </c>
      <c r="D265" s="41">
        <f>(YEAR(A265)-YEAR('01_習慣設計'!$B$6))*12+MONTH(A265)-MONTH('01_習慣設計'!$B$6)+1</f>
        <v>9</v>
      </c>
      <c r="E265" s="12"/>
      <c r="F265" s="3"/>
      <c r="G265" s="3"/>
      <c r="H265" s="41">
        <f t="shared" si="2"/>
        <v>0</v>
      </c>
    </row>
    <row r="266" ht="21.75" customHeight="1">
      <c r="A266" s="42">
        <v>46458.0</v>
      </c>
      <c r="B266" s="41" t="str">
        <f t="shared" si="1"/>
        <v>金</v>
      </c>
      <c r="C266" s="41">
        <f>ROUNDUP((A266-'01_習慣設計'!$B$6+1)/7,0)</f>
        <v>37</v>
      </c>
      <c r="D266" s="41">
        <f>(YEAR(A266)-YEAR('01_習慣設計'!$B$6))*12+MONTH(A266)-MONTH('01_習慣設計'!$B$6)+1</f>
        <v>9</v>
      </c>
      <c r="E266" s="12"/>
      <c r="F266" s="3"/>
      <c r="G266" s="3"/>
      <c r="H266" s="41">
        <f t="shared" si="2"/>
        <v>0</v>
      </c>
    </row>
    <row r="267" ht="21.75" customHeight="1">
      <c r="A267" s="42">
        <v>46459.0</v>
      </c>
      <c r="B267" s="41" t="str">
        <f t="shared" si="1"/>
        <v>土</v>
      </c>
      <c r="C267" s="41">
        <f>ROUNDUP((A267-'01_習慣設計'!$B$6+1)/7,0)</f>
        <v>37</v>
      </c>
      <c r="D267" s="41">
        <f>(YEAR(A267)-YEAR('01_習慣設計'!$B$6))*12+MONTH(A267)-MONTH('01_習慣設計'!$B$6)+1</f>
        <v>9</v>
      </c>
      <c r="E267" s="12"/>
      <c r="F267" s="3"/>
      <c r="G267" s="3"/>
      <c r="H267" s="41">
        <f t="shared" si="2"/>
        <v>0</v>
      </c>
    </row>
    <row r="268" ht="21.75" customHeight="1">
      <c r="A268" s="42">
        <v>46460.0</v>
      </c>
      <c r="B268" s="41" t="str">
        <f t="shared" si="1"/>
        <v>日</v>
      </c>
      <c r="C268" s="41">
        <f>ROUNDUP((A268-'01_習慣設計'!$B$6+1)/7,0)</f>
        <v>37</v>
      </c>
      <c r="D268" s="41">
        <f>(YEAR(A268)-YEAR('01_習慣設計'!$B$6))*12+MONTH(A268)-MONTH('01_習慣設計'!$B$6)+1</f>
        <v>9</v>
      </c>
      <c r="E268" s="12"/>
      <c r="F268" s="3"/>
      <c r="G268" s="3"/>
      <c r="H268" s="41">
        <f t="shared" si="2"/>
        <v>0</v>
      </c>
    </row>
    <row r="269" ht="21.75" customHeight="1">
      <c r="A269" s="42">
        <v>46461.0</v>
      </c>
      <c r="B269" s="41" t="str">
        <f t="shared" si="1"/>
        <v>月</v>
      </c>
      <c r="C269" s="41">
        <f>ROUNDUP((A269-'01_習慣設計'!$B$6+1)/7,0)</f>
        <v>37</v>
      </c>
      <c r="D269" s="41">
        <f>(YEAR(A269)-YEAR('01_習慣設計'!$B$6))*12+MONTH(A269)-MONTH('01_習慣設計'!$B$6)+1</f>
        <v>9</v>
      </c>
      <c r="E269" s="12"/>
      <c r="F269" s="3"/>
      <c r="G269" s="3"/>
      <c r="H269" s="41">
        <f t="shared" si="2"/>
        <v>0</v>
      </c>
    </row>
    <row r="270" ht="21.75" customHeight="1">
      <c r="A270" s="42">
        <v>46462.0</v>
      </c>
      <c r="B270" s="41" t="str">
        <f t="shared" si="1"/>
        <v>火</v>
      </c>
      <c r="C270" s="41">
        <f>ROUNDUP((A270-'01_習慣設計'!$B$6+1)/7,0)</f>
        <v>37</v>
      </c>
      <c r="D270" s="41">
        <f>(YEAR(A270)-YEAR('01_習慣設計'!$B$6))*12+MONTH(A270)-MONTH('01_習慣設計'!$B$6)+1</f>
        <v>9</v>
      </c>
      <c r="E270" s="12"/>
      <c r="F270" s="3"/>
      <c r="G270" s="3"/>
      <c r="H270" s="41">
        <f t="shared" si="2"/>
        <v>0</v>
      </c>
    </row>
    <row r="271" ht="21.75" customHeight="1">
      <c r="A271" s="42">
        <v>46463.0</v>
      </c>
      <c r="B271" s="41" t="str">
        <f t="shared" si="1"/>
        <v>水</v>
      </c>
      <c r="C271" s="41">
        <f>ROUNDUP((A271-'01_習慣設計'!$B$6+1)/7,0)</f>
        <v>38</v>
      </c>
      <c r="D271" s="41">
        <f>(YEAR(A271)-YEAR('01_習慣設計'!$B$6))*12+MONTH(A271)-MONTH('01_習慣設計'!$B$6)+1</f>
        <v>9</v>
      </c>
      <c r="E271" s="12"/>
      <c r="F271" s="3"/>
      <c r="G271" s="3"/>
      <c r="H271" s="41">
        <f t="shared" si="2"/>
        <v>0</v>
      </c>
    </row>
    <row r="272" ht="21.75" customHeight="1">
      <c r="A272" s="42">
        <v>46464.0</v>
      </c>
      <c r="B272" s="41" t="str">
        <f t="shared" si="1"/>
        <v>木</v>
      </c>
      <c r="C272" s="41">
        <f>ROUNDUP((A272-'01_習慣設計'!$B$6+1)/7,0)</f>
        <v>38</v>
      </c>
      <c r="D272" s="41">
        <f>(YEAR(A272)-YEAR('01_習慣設計'!$B$6))*12+MONTH(A272)-MONTH('01_習慣設計'!$B$6)+1</f>
        <v>9</v>
      </c>
      <c r="E272" s="12"/>
      <c r="F272" s="3"/>
      <c r="G272" s="3"/>
      <c r="H272" s="41">
        <f t="shared" si="2"/>
        <v>0</v>
      </c>
    </row>
    <row r="273" ht="21.75" customHeight="1">
      <c r="A273" s="42">
        <v>46465.0</v>
      </c>
      <c r="B273" s="41" t="str">
        <f t="shared" si="1"/>
        <v>金</v>
      </c>
      <c r="C273" s="41">
        <f>ROUNDUP((A273-'01_習慣設計'!$B$6+1)/7,0)</f>
        <v>38</v>
      </c>
      <c r="D273" s="41">
        <f>(YEAR(A273)-YEAR('01_習慣設計'!$B$6))*12+MONTH(A273)-MONTH('01_習慣設計'!$B$6)+1</f>
        <v>9</v>
      </c>
      <c r="E273" s="12"/>
      <c r="F273" s="3"/>
      <c r="G273" s="3"/>
      <c r="H273" s="41">
        <f t="shared" si="2"/>
        <v>0</v>
      </c>
    </row>
    <row r="274" ht="21.75" customHeight="1">
      <c r="A274" s="42">
        <v>46466.0</v>
      </c>
      <c r="B274" s="41" t="str">
        <f t="shared" si="1"/>
        <v>土</v>
      </c>
      <c r="C274" s="41">
        <f>ROUNDUP((A274-'01_習慣設計'!$B$6+1)/7,0)</f>
        <v>38</v>
      </c>
      <c r="D274" s="41">
        <f>(YEAR(A274)-YEAR('01_習慣設計'!$B$6))*12+MONTH(A274)-MONTH('01_習慣設計'!$B$6)+1</f>
        <v>9</v>
      </c>
      <c r="E274" s="12"/>
      <c r="F274" s="3"/>
      <c r="G274" s="3"/>
      <c r="H274" s="41">
        <f t="shared" si="2"/>
        <v>0</v>
      </c>
    </row>
    <row r="275" ht="21.75" customHeight="1">
      <c r="A275" s="42">
        <v>46467.0</v>
      </c>
      <c r="B275" s="41" t="str">
        <f t="shared" si="1"/>
        <v>日</v>
      </c>
      <c r="C275" s="41">
        <f>ROUNDUP((A275-'01_習慣設計'!$B$6+1)/7,0)</f>
        <v>38</v>
      </c>
      <c r="D275" s="41">
        <f>(YEAR(A275)-YEAR('01_習慣設計'!$B$6))*12+MONTH(A275)-MONTH('01_習慣設計'!$B$6)+1</f>
        <v>9</v>
      </c>
      <c r="E275" s="12"/>
      <c r="F275" s="3"/>
      <c r="G275" s="3"/>
      <c r="H275" s="41">
        <f t="shared" si="2"/>
        <v>0</v>
      </c>
    </row>
    <row r="276" ht="21.75" customHeight="1">
      <c r="A276" s="42">
        <v>46468.0</v>
      </c>
      <c r="B276" s="41" t="str">
        <f t="shared" si="1"/>
        <v>月</v>
      </c>
      <c r="C276" s="41">
        <f>ROUNDUP((A276-'01_習慣設計'!$B$6+1)/7,0)</f>
        <v>38</v>
      </c>
      <c r="D276" s="41">
        <f>(YEAR(A276)-YEAR('01_習慣設計'!$B$6))*12+MONTH(A276)-MONTH('01_習慣設計'!$B$6)+1</f>
        <v>9</v>
      </c>
      <c r="E276" s="12"/>
      <c r="F276" s="3"/>
      <c r="G276" s="3"/>
      <c r="H276" s="41">
        <f t="shared" si="2"/>
        <v>0</v>
      </c>
    </row>
    <row r="277" ht="21.75" customHeight="1">
      <c r="A277" s="42">
        <v>46469.0</v>
      </c>
      <c r="B277" s="41" t="str">
        <f t="shared" si="1"/>
        <v>火</v>
      </c>
      <c r="C277" s="41">
        <f>ROUNDUP((A277-'01_習慣設計'!$B$6+1)/7,0)</f>
        <v>38</v>
      </c>
      <c r="D277" s="41">
        <f>(YEAR(A277)-YEAR('01_習慣設計'!$B$6))*12+MONTH(A277)-MONTH('01_習慣設計'!$B$6)+1</f>
        <v>9</v>
      </c>
      <c r="E277" s="12"/>
      <c r="F277" s="3"/>
      <c r="G277" s="3"/>
      <c r="H277" s="41">
        <f t="shared" si="2"/>
        <v>0</v>
      </c>
    </row>
    <row r="278" ht="21.75" customHeight="1">
      <c r="A278" s="42">
        <v>46470.0</v>
      </c>
      <c r="B278" s="41" t="str">
        <f t="shared" si="1"/>
        <v>水</v>
      </c>
      <c r="C278" s="41">
        <f>ROUNDUP((A278-'01_習慣設計'!$B$6+1)/7,0)</f>
        <v>39</v>
      </c>
      <c r="D278" s="41">
        <f>(YEAR(A278)-YEAR('01_習慣設計'!$B$6))*12+MONTH(A278)-MONTH('01_習慣設計'!$B$6)+1</f>
        <v>9</v>
      </c>
      <c r="E278" s="12"/>
      <c r="F278" s="3"/>
      <c r="G278" s="3"/>
      <c r="H278" s="41">
        <f t="shared" si="2"/>
        <v>0</v>
      </c>
    </row>
    <row r="279" ht="21.75" customHeight="1">
      <c r="A279" s="42">
        <v>46471.0</v>
      </c>
      <c r="B279" s="41" t="str">
        <f t="shared" si="1"/>
        <v>木</v>
      </c>
      <c r="C279" s="41">
        <f>ROUNDUP((A279-'01_習慣設計'!$B$6+1)/7,0)</f>
        <v>39</v>
      </c>
      <c r="D279" s="41">
        <f>(YEAR(A279)-YEAR('01_習慣設計'!$B$6))*12+MONTH(A279)-MONTH('01_習慣設計'!$B$6)+1</f>
        <v>9</v>
      </c>
      <c r="E279" s="12"/>
      <c r="F279" s="3"/>
      <c r="G279" s="3"/>
      <c r="H279" s="41">
        <f t="shared" si="2"/>
        <v>0</v>
      </c>
    </row>
    <row r="280" ht="21.75" customHeight="1">
      <c r="A280" s="42">
        <v>46472.0</v>
      </c>
      <c r="B280" s="41" t="str">
        <f t="shared" si="1"/>
        <v>金</v>
      </c>
      <c r="C280" s="41">
        <f>ROUNDUP((A280-'01_習慣設計'!$B$6+1)/7,0)</f>
        <v>39</v>
      </c>
      <c r="D280" s="41">
        <f>(YEAR(A280)-YEAR('01_習慣設計'!$B$6))*12+MONTH(A280)-MONTH('01_習慣設計'!$B$6)+1</f>
        <v>9</v>
      </c>
      <c r="E280" s="12"/>
      <c r="F280" s="3"/>
      <c r="G280" s="3"/>
      <c r="H280" s="41">
        <f t="shared" si="2"/>
        <v>0</v>
      </c>
    </row>
    <row r="281" ht="21.75" customHeight="1">
      <c r="A281" s="42">
        <v>46473.0</v>
      </c>
      <c r="B281" s="41" t="str">
        <f t="shared" si="1"/>
        <v>土</v>
      </c>
      <c r="C281" s="41">
        <f>ROUNDUP((A281-'01_習慣設計'!$B$6+1)/7,0)</f>
        <v>39</v>
      </c>
      <c r="D281" s="41">
        <f>(YEAR(A281)-YEAR('01_習慣設計'!$B$6))*12+MONTH(A281)-MONTH('01_習慣設計'!$B$6)+1</f>
        <v>9</v>
      </c>
      <c r="E281" s="12"/>
      <c r="F281" s="3"/>
      <c r="G281" s="3"/>
      <c r="H281" s="41">
        <f t="shared" si="2"/>
        <v>0</v>
      </c>
    </row>
    <row r="282" ht="21.75" customHeight="1">
      <c r="A282" s="42">
        <v>46474.0</v>
      </c>
      <c r="B282" s="41" t="str">
        <f t="shared" si="1"/>
        <v>日</v>
      </c>
      <c r="C282" s="41">
        <f>ROUNDUP((A282-'01_習慣設計'!$B$6+1)/7,0)</f>
        <v>39</v>
      </c>
      <c r="D282" s="41">
        <f>(YEAR(A282)-YEAR('01_習慣設計'!$B$6))*12+MONTH(A282)-MONTH('01_習慣設計'!$B$6)+1</f>
        <v>9</v>
      </c>
      <c r="E282" s="12"/>
      <c r="F282" s="3"/>
      <c r="G282" s="3"/>
      <c r="H282" s="41">
        <f t="shared" si="2"/>
        <v>0</v>
      </c>
    </row>
    <row r="283" ht="21.75" customHeight="1">
      <c r="A283" s="42">
        <v>46475.0</v>
      </c>
      <c r="B283" s="41" t="str">
        <f t="shared" si="1"/>
        <v>月</v>
      </c>
      <c r="C283" s="41">
        <f>ROUNDUP((A283-'01_習慣設計'!$B$6+1)/7,0)</f>
        <v>39</v>
      </c>
      <c r="D283" s="41">
        <f>(YEAR(A283)-YEAR('01_習慣設計'!$B$6))*12+MONTH(A283)-MONTH('01_習慣設計'!$B$6)+1</f>
        <v>9</v>
      </c>
      <c r="E283" s="12"/>
      <c r="F283" s="3"/>
      <c r="G283" s="3"/>
      <c r="H283" s="41">
        <f t="shared" si="2"/>
        <v>0</v>
      </c>
    </row>
    <row r="284" ht="21.75" customHeight="1">
      <c r="A284" s="42">
        <v>46476.0</v>
      </c>
      <c r="B284" s="41" t="str">
        <f t="shared" si="1"/>
        <v>火</v>
      </c>
      <c r="C284" s="41">
        <f>ROUNDUP((A284-'01_習慣設計'!$B$6+1)/7,0)</f>
        <v>39</v>
      </c>
      <c r="D284" s="41">
        <f>(YEAR(A284)-YEAR('01_習慣設計'!$B$6))*12+MONTH(A284)-MONTH('01_習慣設計'!$B$6)+1</f>
        <v>9</v>
      </c>
      <c r="E284" s="12"/>
      <c r="F284" s="3"/>
      <c r="G284" s="3"/>
      <c r="H284" s="41">
        <f t="shared" si="2"/>
        <v>0</v>
      </c>
    </row>
    <row r="285" ht="21.75" customHeight="1">
      <c r="A285" s="42">
        <v>46477.0</v>
      </c>
      <c r="B285" s="41" t="str">
        <f t="shared" si="1"/>
        <v>水</v>
      </c>
      <c r="C285" s="41">
        <f>ROUNDUP((A285-'01_習慣設計'!$B$6+1)/7,0)</f>
        <v>40</v>
      </c>
      <c r="D285" s="41">
        <f>(YEAR(A285)-YEAR('01_習慣設計'!$B$6))*12+MONTH(A285)-MONTH('01_習慣設計'!$B$6)+1</f>
        <v>9</v>
      </c>
      <c r="E285" s="12"/>
      <c r="F285" s="3"/>
      <c r="G285" s="3"/>
      <c r="H285" s="41">
        <f t="shared" si="2"/>
        <v>0</v>
      </c>
    </row>
    <row r="286" ht="21.75" customHeight="1">
      <c r="A286" s="42">
        <v>46478.0</v>
      </c>
      <c r="B286" s="41" t="str">
        <f t="shared" si="1"/>
        <v>木</v>
      </c>
      <c r="C286" s="41">
        <f>ROUNDUP((A286-'01_習慣設計'!$B$6+1)/7,0)</f>
        <v>40</v>
      </c>
      <c r="D286" s="41">
        <f>(YEAR(A286)-YEAR('01_習慣設計'!$B$6))*12+MONTH(A286)-MONTH('01_習慣設計'!$B$6)+1</f>
        <v>10</v>
      </c>
      <c r="E286" s="12"/>
      <c r="F286" s="3"/>
      <c r="G286" s="3"/>
      <c r="H286" s="41">
        <f t="shared" si="2"/>
        <v>0</v>
      </c>
    </row>
    <row r="287" ht="21.75" customHeight="1">
      <c r="A287" s="42">
        <v>46479.0</v>
      </c>
      <c r="B287" s="41" t="str">
        <f t="shared" si="1"/>
        <v>金</v>
      </c>
      <c r="C287" s="41">
        <f>ROUNDUP((A287-'01_習慣設計'!$B$6+1)/7,0)</f>
        <v>40</v>
      </c>
      <c r="D287" s="41">
        <f>(YEAR(A287)-YEAR('01_習慣設計'!$B$6))*12+MONTH(A287)-MONTH('01_習慣設計'!$B$6)+1</f>
        <v>10</v>
      </c>
      <c r="E287" s="12"/>
      <c r="F287" s="3"/>
      <c r="G287" s="3"/>
      <c r="H287" s="41">
        <f t="shared" si="2"/>
        <v>0</v>
      </c>
    </row>
    <row r="288" ht="21.75" customHeight="1">
      <c r="A288" s="42">
        <v>46480.0</v>
      </c>
      <c r="B288" s="41" t="str">
        <f t="shared" si="1"/>
        <v>土</v>
      </c>
      <c r="C288" s="41">
        <f>ROUNDUP((A288-'01_習慣設計'!$B$6+1)/7,0)</f>
        <v>40</v>
      </c>
      <c r="D288" s="41">
        <f>(YEAR(A288)-YEAR('01_習慣設計'!$B$6))*12+MONTH(A288)-MONTH('01_習慣設計'!$B$6)+1</f>
        <v>10</v>
      </c>
      <c r="E288" s="12"/>
      <c r="F288" s="3"/>
      <c r="G288" s="3"/>
      <c r="H288" s="41">
        <f t="shared" si="2"/>
        <v>0</v>
      </c>
    </row>
    <row r="289" ht="21.75" customHeight="1">
      <c r="A289" s="42">
        <v>46481.0</v>
      </c>
      <c r="B289" s="41" t="str">
        <f t="shared" si="1"/>
        <v>日</v>
      </c>
      <c r="C289" s="41">
        <f>ROUNDUP((A289-'01_習慣設計'!$B$6+1)/7,0)</f>
        <v>40</v>
      </c>
      <c r="D289" s="41">
        <f>(YEAR(A289)-YEAR('01_習慣設計'!$B$6))*12+MONTH(A289)-MONTH('01_習慣設計'!$B$6)+1</f>
        <v>10</v>
      </c>
      <c r="E289" s="12"/>
      <c r="F289" s="3"/>
      <c r="G289" s="3"/>
      <c r="H289" s="41">
        <f t="shared" si="2"/>
        <v>0</v>
      </c>
    </row>
    <row r="290" ht="21.75" customHeight="1">
      <c r="A290" s="42">
        <v>46482.0</v>
      </c>
      <c r="B290" s="41" t="str">
        <f t="shared" si="1"/>
        <v>月</v>
      </c>
      <c r="C290" s="41">
        <f>ROUNDUP((A290-'01_習慣設計'!$B$6+1)/7,0)</f>
        <v>40</v>
      </c>
      <c r="D290" s="41">
        <f>(YEAR(A290)-YEAR('01_習慣設計'!$B$6))*12+MONTH(A290)-MONTH('01_習慣設計'!$B$6)+1</f>
        <v>10</v>
      </c>
      <c r="E290" s="12"/>
      <c r="F290" s="3"/>
      <c r="G290" s="3"/>
      <c r="H290" s="41">
        <f t="shared" si="2"/>
        <v>0</v>
      </c>
    </row>
    <row r="291" ht="21.75" customHeight="1">
      <c r="A291" s="42">
        <v>46483.0</v>
      </c>
      <c r="B291" s="41" t="str">
        <f t="shared" si="1"/>
        <v>火</v>
      </c>
      <c r="C291" s="41">
        <f>ROUNDUP((A291-'01_習慣設計'!$B$6+1)/7,0)</f>
        <v>40</v>
      </c>
      <c r="D291" s="41">
        <f>(YEAR(A291)-YEAR('01_習慣設計'!$B$6))*12+MONTH(A291)-MONTH('01_習慣設計'!$B$6)+1</f>
        <v>10</v>
      </c>
      <c r="E291" s="12"/>
      <c r="F291" s="3"/>
      <c r="G291" s="3"/>
      <c r="H291" s="41">
        <f t="shared" si="2"/>
        <v>0</v>
      </c>
    </row>
    <row r="292" ht="21.75" customHeight="1">
      <c r="A292" s="42">
        <v>46484.0</v>
      </c>
      <c r="B292" s="41" t="str">
        <f t="shared" si="1"/>
        <v>水</v>
      </c>
      <c r="C292" s="41">
        <f>ROUNDUP((A292-'01_習慣設計'!$B$6+1)/7,0)</f>
        <v>41</v>
      </c>
      <c r="D292" s="41">
        <f>(YEAR(A292)-YEAR('01_習慣設計'!$B$6))*12+MONTH(A292)-MONTH('01_習慣設計'!$B$6)+1</f>
        <v>10</v>
      </c>
      <c r="E292" s="12"/>
      <c r="F292" s="3"/>
      <c r="G292" s="3"/>
      <c r="H292" s="41">
        <f t="shared" si="2"/>
        <v>0</v>
      </c>
    </row>
    <row r="293" ht="21.75" customHeight="1">
      <c r="A293" s="42">
        <v>46485.0</v>
      </c>
      <c r="B293" s="41" t="str">
        <f t="shared" si="1"/>
        <v>木</v>
      </c>
      <c r="C293" s="41">
        <f>ROUNDUP((A293-'01_習慣設計'!$B$6+1)/7,0)</f>
        <v>41</v>
      </c>
      <c r="D293" s="41">
        <f>(YEAR(A293)-YEAR('01_習慣設計'!$B$6))*12+MONTH(A293)-MONTH('01_習慣設計'!$B$6)+1</f>
        <v>10</v>
      </c>
      <c r="E293" s="12"/>
      <c r="F293" s="3"/>
      <c r="G293" s="3"/>
      <c r="H293" s="41">
        <f t="shared" si="2"/>
        <v>0</v>
      </c>
    </row>
    <row r="294" ht="21.75" customHeight="1">
      <c r="A294" s="42">
        <v>46486.0</v>
      </c>
      <c r="B294" s="41" t="str">
        <f t="shared" si="1"/>
        <v>金</v>
      </c>
      <c r="C294" s="41">
        <f>ROUNDUP((A294-'01_習慣設計'!$B$6+1)/7,0)</f>
        <v>41</v>
      </c>
      <c r="D294" s="41">
        <f>(YEAR(A294)-YEAR('01_習慣設計'!$B$6))*12+MONTH(A294)-MONTH('01_習慣設計'!$B$6)+1</f>
        <v>10</v>
      </c>
      <c r="E294" s="12"/>
      <c r="F294" s="3"/>
      <c r="G294" s="3"/>
      <c r="H294" s="41">
        <f t="shared" si="2"/>
        <v>0</v>
      </c>
    </row>
    <row r="295" ht="21.75" customHeight="1">
      <c r="A295" s="42">
        <v>46487.0</v>
      </c>
      <c r="B295" s="41" t="str">
        <f t="shared" si="1"/>
        <v>土</v>
      </c>
      <c r="C295" s="41">
        <f>ROUNDUP((A295-'01_習慣設計'!$B$6+1)/7,0)</f>
        <v>41</v>
      </c>
      <c r="D295" s="41">
        <f>(YEAR(A295)-YEAR('01_習慣設計'!$B$6))*12+MONTH(A295)-MONTH('01_習慣設計'!$B$6)+1</f>
        <v>10</v>
      </c>
      <c r="E295" s="12"/>
      <c r="F295" s="3"/>
      <c r="G295" s="3"/>
      <c r="H295" s="41">
        <f t="shared" si="2"/>
        <v>0</v>
      </c>
    </row>
    <row r="296" ht="21.75" customHeight="1">
      <c r="A296" s="42">
        <v>46488.0</v>
      </c>
      <c r="B296" s="41" t="str">
        <f t="shared" si="1"/>
        <v>日</v>
      </c>
      <c r="C296" s="41">
        <f>ROUNDUP((A296-'01_習慣設計'!$B$6+1)/7,0)</f>
        <v>41</v>
      </c>
      <c r="D296" s="41">
        <f>(YEAR(A296)-YEAR('01_習慣設計'!$B$6))*12+MONTH(A296)-MONTH('01_習慣設計'!$B$6)+1</f>
        <v>10</v>
      </c>
      <c r="E296" s="12"/>
      <c r="F296" s="3"/>
      <c r="G296" s="3"/>
      <c r="H296" s="41">
        <f t="shared" si="2"/>
        <v>0</v>
      </c>
    </row>
    <row r="297" ht="21.75" customHeight="1">
      <c r="A297" s="42">
        <v>46489.0</v>
      </c>
      <c r="B297" s="41" t="str">
        <f t="shared" si="1"/>
        <v>月</v>
      </c>
      <c r="C297" s="41">
        <f>ROUNDUP((A297-'01_習慣設計'!$B$6+1)/7,0)</f>
        <v>41</v>
      </c>
      <c r="D297" s="41">
        <f>(YEAR(A297)-YEAR('01_習慣設計'!$B$6))*12+MONTH(A297)-MONTH('01_習慣設計'!$B$6)+1</f>
        <v>10</v>
      </c>
      <c r="E297" s="12"/>
      <c r="F297" s="3"/>
      <c r="G297" s="3"/>
      <c r="H297" s="41">
        <f t="shared" si="2"/>
        <v>0</v>
      </c>
    </row>
    <row r="298" ht="21.75" customHeight="1">
      <c r="A298" s="42">
        <v>46490.0</v>
      </c>
      <c r="B298" s="41" t="str">
        <f t="shared" si="1"/>
        <v>火</v>
      </c>
      <c r="C298" s="41">
        <f>ROUNDUP((A298-'01_習慣設計'!$B$6+1)/7,0)</f>
        <v>41</v>
      </c>
      <c r="D298" s="41">
        <f>(YEAR(A298)-YEAR('01_習慣設計'!$B$6))*12+MONTH(A298)-MONTH('01_習慣設計'!$B$6)+1</f>
        <v>10</v>
      </c>
      <c r="E298" s="12"/>
      <c r="F298" s="3"/>
      <c r="G298" s="3"/>
      <c r="H298" s="41">
        <f t="shared" si="2"/>
        <v>0</v>
      </c>
    </row>
    <row r="299" ht="21.75" customHeight="1">
      <c r="A299" s="42">
        <v>46491.0</v>
      </c>
      <c r="B299" s="41" t="str">
        <f t="shared" si="1"/>
        <v>水</v>
      </c>
      <c r="C299" s="41">
        <f>ROUNDUP((A299-'01_習慣設計'!$B$6+1)/7,0)</f>
        <v>42</v>
      </c>
      <c r="D299" s="41">
        <f>(YEAR(A299)-YEAR('01_習慣設計'!$B$6))*12+MONTH(A299)-MONTH('01_習慣設計'!$B$6)+1</f>
        <v>10</v>
      </c>
      <c r="E299" s="12"/>
      <c r="F299" s="3"/>
      <c r="G299" s="3"/>
      <c r="H299" s="41">
        <f t="shared" si="2"/>
        <v>0</v>
      </c>
    </row>
    <row r="300" ht="21.75" customHeight="1">
      <c r="A300" s="42">
        <v>46492.0</v>
      </c>
      <c r="B300" s="41" t="str">
        <f t="shared" si="1"/>
        <v>木</v>
      </c>
      <c r="C300" s="41">
        <f>ROUNDUP((A300-'01_習慣設計'!$B$6+1)/7,0)</f>
        <v>42</v>
      </c>
      <c r="D300" s="41">
        <f>(YEAR(A300)-YEAR('01_習慣設計'!$B$6))*12+MONTH(A300)-MONTH('01_習慣設計'!$B$6)+1</f>
        <v>10</v>
      </c>
      <c r="E300" s="12"/>
      <c r="F300" s="3"/>
      <c r="G300" s="3"/>
      <c r="H300" s="41">
        <f t="shared" si="2"/>
        <v>0</v>
      </c>
    </row>
    <row r="301" ht="21.75" customHeight="1">
      <c r="A301" s="42">
        <v>46493.0</v>
      </c>
      <c r="B301" s="41" t="str">
        <f t="shared" si="1"/>
        <v>金</v>
      </c>
      <c r="C301" s="41">
        <f>ROUNDUP((A301-'01_習慣設計'!$B$6+1)/7,0)</f>
        <v>42</v>
      </c>
      <c r="D301" s="41">
        <f>(YEAR(A301)-YEAR('01_習慣設計'!$B$6))*12+MONTH(A301)-MONTH('01_習慣設計'!$B$6)+1</f>
        <v>10</v>
      </c>
      <c r="E301" s="12"/>
      <c r="F301" s="3"/>
      <c r="G301" s="3"/>
      <c r="H301" s="41">
        <f t="shared" si="2"/>
        <v>0</v>
      </c>
    </row>
    <row r="302" ht="21.75" customHeight="1">
      <c r="A302" s="42">
        <v>46494.0</v>
      </c>
      <c r="B302" s="41" t="str">
        <f t="shared" si="1"/>
        <v>土</v>
      </c>
      <c r="C302" s="41">
        <f>ROUNDUP((A302-'01_習慣設計'!$B$6+1)/7,0)</f>
        <v>42</v>
      </c>
      <c r="D302" s="41">
        <f>(YEAR(A302)-YEAR('01_習慣設計'!$B$6))*12+MONTH(A302)-MONTH('01_習慣設計'!$B$6)+1</f>
        <v>10</v>
      </c>
      <c r="E302" s="12"/>
      <c r="F302" s="3"/>
      <c r="G302" s="3"/>
      <c r="H302" s="41">
        <f t="shared" si="2"/>
        <v>0</v>
      </c>
    </row>
    <row r="303" ht="21.75" customHeight="1">
      <c r="A303" s="42">
        <v>46495.0</v>
      </c>
      <c r="B303" s="41" t="str">
        <f t="shared" si="1"/>
        <v>日</v>
      </c>
      <c r="C303" s="41">
        <f>ROUNDUP((A303-'01_習慣設計'!$B$6+1)/7,0)</f>
        <v>42</v>
      </c>
      <c r="D303" s="41">
        <f>(YEAR(A303)-YEAR('01_習慣設計'!$B$6))*12+MONTH(A303)-MONTH('01_習慣設計'!$B$6)+1</f>
        <v>10</v>
      </c>
      <c r="E303" s="12"/>
      <c r="F303" s="3"/>
      <c r="G303" s="3"/>
      <c r="H303" s="41">
        <f t="shared" si="2"/>
        <v>0</v>
      </c>
    </row>
    <row r="304" ht="21.75" customHeight="1">
      <c r="A304" s="42">
        <v>46496.0</v>
      </c>
      <c r="B304" s="41" t="str">
        <f t="shared" si="1"/>
        <v>月</v>
      </c>
      <c r="C304" s="41">
        <f>ROUNDUP((A304-'01_習慣設計'!$B$6+1)/7,0)</f>
        <v>42</v>
      </c>
      <c r="D304" s="41">
        <f>(YEAR(A304)-YEAR('01_習慣設計'!$B$6))*12+MONTH(A304)-MONTH('01_習慣設計'!$B$6)+1</f>
        <v>10</v>
      </c>
      <c r="E304" s="12"/>
      <c r="F304" s="3"/>
      <c r="G304" s="3"/>
      <c r="H304" s="41">
        <f t="shared" si="2"/>
        <v>0</v>
      </c>
    </row>
    <row r="305" ht="21.75" customHeight="1">
      <c r="A305" s="42">
        <v>46497.0</v>
      </c>
      <c r="B305" s="41" t="str">
        <f t="shared" si="1"/>
        <v>火</v>
      </c>
      <c r="C305" s="41">
        <f>ROUNDUP((A305-'01_習慣設計'!$B$6+1)/7,0)</f>
        <v>42</v>
      </c>
      <c r="D305" s="41">
        <f>(YEAR(A305)-YEAR('01_習慣設計'!$B$6))*12+MONTH(A305)-MONTH('01_習慣設計'!$B$6)+1</f>
        <v>10</v>
      </c>
      <c r="E305" s="12"/>
      <c r="F305" s="3"/>
      <c r="G305" s="3"/>
      <c r="H305" s="41">
        <f t="shared" si="2"/>
        <v>0</v>
      </c>
    </row>
    <row r="306" ht="21.75" customHeight="1">
      <c r="A306" s="42">
        <v>46498.0</v>
      </c>
      <c r="B306" s="41" t="str">
        <f t="shared" si="1"/>
        <v>水</v>
      </c>
      <c r="C306" s="41">
        <f>ROUNDUP((A306-'01_習慣設計'!$B$6+1)/7,0)</f>
        <v>43</v>
      </c>
      <c r="D306" s="41">
        <f>(YEAR(A306)-YEAR('01_習慣設計'!$B$6))*12+MONTH(A306)-MONTH('01_習慣設計'!$B$6)+1</f>
        <v>10</v>
      </c>
      <c r="E306" s="12"/>
      <c r="F306" s="3"/>
      <c r="G306" s="3"/>
      <c r="H306" s="41">
        <f t="shared" si="2"/>
        <v>0</v>
      </c>
    </row>
    <row r="307" ht="21.75" customHeight="1">
      <c r="A307" s="42">
        <v>46499.0</v>
      </c>
      <c r="B307" s="41" t="str">
        <f t="shared" si="1"/>
        <v>木</v>
      </c>
      <c r="C307" s="41">
        <f>ROUNDUP((A307-'01_習慣設計'!$B$6+1)/7,0)</f>
        <v>43</v>
      </c>
      <c r="D307" s="41">
        <f>(YEAR(A307)-YEAR('01_習慣設計'!$B$6))*12+MONTH(A307)-MONTH('01_習慣設計'!$B$6)+1</f>
        <v>10</v>
      </c>
      <c r="E307" s="12"/>
      <c r="F307" s="3"/>
      <c r="G307" s="3"/>
      <c r="H307" s="41">
        <f t="shared" si="2"/>
        <v>0</v>
      </c>
    </row>
    <row r="308" ht="21.75" customHeight="1">
      <c r="A308" s="42">
        <v>46500.0</v>
      </c>
      <c r="B308" s="41" t="str">
        <f t="shared" si="1"/>
        <v>金</v>
      </c>
      <c r="C308" s="41">
        <f>ROUNDUP((A308-'01_習慣設計'!$B$6+1)/7,0)</f>
        <v>43</v>
      </c>
      <c r="D308" s="41">
        <f>(YEAR(A308)-YEAR('01_習慣設計'!$B$6))*12+MONTH(A308)-MONTH('01_習慣設計'!$B$6)+1</f>
        <v>10</v>
      </c>
      <c r="E308" s="12"/>
      <c r="F308" s="3"/>
      <c r="G308" s="3"/>
      <c r="H308" s="41">
        <f t="shared" si="2"/>
        <v>0</v>
      </c>
    </row>
    <row r="309" ht="21.75" customHeight="1">
      <c r="A309" s="42">
        <v>46501.0</v>
      </c>
      <c r="B309" s="41" t="str">
        <f t="shared" si="1"/>
        <v>土</v>
      </c>
      <c r="C309" s="41">
        <f>ROUNDUP((A309-'01_習慣設計'!$B$6+1)/7,0)</f>
        <v>43</v>
      </c>
      <c r="D309" s="41">
        <f>(YEAR(A309)-YEAR('01_習慣設計'!$B$6))*12+MONTH(A309)-MONTH('01_習慣設計'!$B$6)+1</f>
        <v>10</v>
      </c>
      <c r="E309" s="12"/>
      <c r="F309" s="3"/>
      <c r="G309" s="3"/>
      <c r="H309" s="41">
        <f t="shared" si="2"/>
        <v>0</v>
      </c>
    </row>
    <row r="310" ht="21.75" customHeight="1">
      <c r="A310" s="42">
        <v>46502.0</v>
      </c>
      <c r="B310" s="41" t="str">
        <f t="shared" si="1"/>
        <v>日</v>
      </c>
      <c r="C310" s="41">
        <f>ROUNDUP((A310-'01_習慣設計'!$B$6+1)/7,0)</f>
        <v>43</v>
      </c>
      <c r="D310" s="41">
        <f>(YEAR(A310)-YEAR('01_習慣設計'!$B$6))*12+MONTH(A310)-MONTH('01_習慣設計'!$B$6)+1</f>
        <v>10</v>
      </c>
      <c r="E310" s="12"/>
      <c r="F310" s="3"/>
      <c r="G310" s="3"/>
      <c r="H310" s="41">
        <f t="shared" si="2"/>
        <v>0</v>
      </c>
    </row>
    <row r="311" ht="21.75" customHeight="1">
      <c r="A311" s="42">
        <v>46503.0</v>
      </c>
      <c r="B311" s="41" t="str">
        <f t="shared" si="1"/>
        <v>月</v>
      </c>
      <c r="C311" s="41">
        <f>ROUNDUP((A311-'01_習慣設計'!$B$6+1)/7,0)</f>
        <v>43</v>
      </c>
      <c r="D311" s="41">
        <f>(YEAR(A311)-YEAR('01_習慣設計'!$B$6))*12+MONTH(A311)-MONTH('01_習慣設計'!$B$6)+1</f>
        <v>10</v>
      </c>
      <c r="E311" s="12"/>
      <c r="F311" s="3"/>
      <c r="G311" s="3"/>
      <c r="H311" s="41">
        <f t="shared" si="2"/>
        <v>0</v>
      </c>
    </row>
    <row r="312" ht="21.75" customHeight="1">
      <c r="A312" s="42">
        <v>46504.0</v>
      </c>
      <c r="B312" s="41" t="str">
        <f t="shared" si="1"/>
        <v>火</v>
      </c>
      <c r="C312" s="41">
        <f>ROUNDUP((A312-'01_習慣設計'!$B$6+1)/7,0)</f>
        <v>43</v>
      </c>
      <c r="D312" s="41">
        <f>(YEAR(A312)-YEAR('01_習慣設計'!$B$6))*12+MONTH(A312)-MONTH('01_習慣設計'!$B$6)+1</f>
        <v>10</v>
      </c>
      <c r="E312" s="12"/>
      <c r="F312" s="3"/>
      <c r="G312" s="3"/>
      <c r="H312" s="41">
        <f t="shared" si="2"/>
        <v>0</v>
      </c>
    </row>
    <row r="313" ht="21.75" customHeight="1">
      <c r="A313" s="42">
        <v>46505.0</v>
      </c>
      <c r="B313" s="41" t="str">
        <f t="shared" si="1"/>
        <v>水</v>
      </c>
      <c r="C313" s="41">
        <f>ROUNDUP((A313-'01_習慣設計'!$B$6+1)/7,0)</f>
        <v>44</v>
      </c>
      <c r="D313" s="41">
        <f>(YEAR(A313)-YEAR('01_習慣設計'!$B$6))*12+MONTH(A313)-MONTH('01_習慣設計'!$B$6)+1</f>
        <v>10</v>
      </c>
      <c r="E313" s="12"/>
      <c r="F313" s="3"/>
      <c r="G313" s="3"/>
      <c r="H313" s="41">
        <f t="shared" si="2"/>
        <v>0</v>
      </c>
    </row>
    <row r="314" ht="21.75" customHeight="1">
      <c r="A314" s="42">
        <v>46506.0</v>
      </c>
      <c r="B314" s="41" t="str">
        <f t="shared" si="1"/>
        <v>木</v>
      </c>
      <c r="C314" s="41">
        <f>ROUNDUP((A314-'01_習慣設計'!$B$6+1)/7,0)</f>
        <v>44</v>
      </c>
      <c r="D314" s="41">
        <f>(YEAR(A314)-YEAR('01_習慣設計'!$B$6))*12+MONTH(A314)-MONTH('01_習慣設計'!$B$6)+1</f>
        <v>10</v>
      </c>
      <c r="E314" s="12"/>
      <c r="F314" s="3"/>
      <c r="G314" s="3"/>
      <c r="H314" s="41">
        <f t="shared" si="2"/>
        <v>0</v>
      </c>
    </row>
    <row r="315" ht="21.75" customHeight="1">
      <c r="A315" s="42">
        <v>46507.0</v>
      </c>
      <c r="B315" s="41" t="str">
        <f t="shared" si="1"/>
        <v>金</v>
      </c>
      <c r="C315" s="41">
        <f>ROUNDUP((A315-'01_習慣設計'!$B$6+1)/7,0)</f>
        <v>44</v>
      </c>
      <c r="D315" s="41">
        <f>(YEAR(A315)-YEAR('01_習慣設計'!$B$6))*12+MONTH(A315)-MONTH('01_習慣設計'!$B$6)+1</f>
        <v>10</v>
      </c>
      <c r="E315" s="12"/>
      <c r="F315" s="3"/>
      <c r="G315" s="3"/>
      <c r="H315" s="41">
        <f t="shared" si="2"/>
        <v>0</v>
      </c>
    </row>
    <row r="316" ht="21.75" customHeight="1">
      <c r="A316" s="42">
        <v>46508.0</v>
      </c>
      <c r="B316" s="41" t="str">
        <f t="shared" si="1"/>
        <v>土</v>
      </c>
      <c r="C316" s="41">
        <f>ROUNDUP((A316-'01_習慣設計'!$B$6+1)/7,0)</f>
        <v>44</v>
      </c>
      <c r="D316" s="41">
        <f>(YEAR(A316)-YEAR('01_習慣設計'!$B$6))*12+MONTH(A316)-MONTH('01_習慣設計'!$B$6)+1</f>
        <v>11</v>
      </c>
      <c r="E316" s="12"/>
      <c r="F316" s="3"/>
      <c r="G316" s="3"/>
      <c r="H316" s="41">
        <f t="shared" si="2"/>
        <v>0</v>
      </c>
    </row>
    <row r="317" ht="21.75" customHeight="1">
      <c r="A317" s="42">
        <v>46509.0</v>
      </c>
      <c r="B317" s="41" t="str">
        <f t="shared" si="1"/>
        <v>日</v>
      </c>
      <c r="C317" s="41">
        <f>ROUNDUP((A317-'01_習慣設計'!$B$6+1)/7,0)</f>
        <v>44</v>
      </c>
      <c r="D317" s="41">
        <f>(YEAR(A317)-YEAR('01_習慣設計'!$B$6))*12+MONTH(A317)-MONTH('01_習慣設計'!$B$6)+1</f>
        <v>11</v>
      </c>
      <c r="E317" s="12"/>
      <c r="F317" s="3"/>
      <c r="G317" s="3"/>
      <c r="H317" s="41">
        <f t="shared" si="2"/>
        <v>0</v>
      </c>
    </row>
    <row r="318" ht="21.75" customHeight="1">
      <c r="A318" s="42">
        <v>46510.0</v>
      </c>
      <c r="B318" s="41" t="str">
        <f t="shared" si="1"/>
        <v>月</v>
      </c>
      <c r="C318" s="41">
        <f>ROUNDUP((A318-'01_習慣設計'!$B$6+1)/7,0)</f>
        <v>44</v>
      </c>
      <c r="D318" s="41">
        <f>(YEAR(A318)-YEAR('01_習慣設計'!$B$6))*12+MONTH(A318)-MONTH('01_習慣設計'!$B$6)+1</f>
        <v>11</v>
      </c>
      <c r="E318" s="12"/>
      <c r="F318" s="3"/>
      <c r="G318" s="3"/>
      <c r="H318" s="41">
        <f t="shared" si="2"/>
        <v>0</v>
      </c>
    </row>
    <row r="319" ht="21.75" customHeight="1">
      <c r="A319" s="42">
        <v>46511.0</v>
      </c>
      <c r="B319" s="41" t="str">
        <f t="shared" si="1"/>
        <v>火</v>
      </c>
      <c r="C319" s="41">
        <f>ROUNDUP((A319-'01_習慣設計'!$B$6+1)/7,0)</f>
        <v>44</v>
      </c>
      <c r="D319" s="41">
        <f>(YEAR(A319)-YEAR('01_習慣設計'!$B$6))*12+MONTH(A319)-MONTH('01_習慣設計'!$B$6)+1</f>
        <v>11</v>
      </c>
      <c r="E319" s="12"/>
      <c r="F319" s="3"/>
      <c r="G319" s="3"/>
      <c r="H319" s="41">
        <f t="shared" si="2"/>
        <v>0</v>
      </c>
    </row>
    <row r="320" ht="21.75" customHeight="1">
      <c r="A320" s="42">
        <v>46512.0</v>
      </c>
      <c r="B320" s="41" t="str">
        <f t="shared" si="1"/>
        <v>水</v>
      </c>
      <c r="C320" s="41">
        <f>ROUNDUP((A320-'01_習慣設計'!$B$6+1)/7,0)</f>
        <v>45</v>
      </c>
      <c r="D320" s="41">
        <f>(YEAR(A320)-YEAR('01_習慣設計'!$B$6))*12+MONTH(A320)-MONTH('01_習慣設計'!$B$6)+1</f>
        <v>11</v>
      </c>
      <c r="E320" s="12"/>
      <c r="F320" s="3"/>
      <c r="G320" s="3"/>
      <c r="H320" s="41">
        <f t="shared" si="2"/>
        <v>0</v>
      </c>
    </row>
    <row r="321" ht="21.75" customHeight="1">
      <c r="A321" s="42">
        <v>46513.0</v>
      </c>
      <c r="B321" s="41" t="str">
        <f t="shared" si="1"/>
        <v>木</v>
      </c>
      <c r="C321" s="41">
        <f>ROUNDUP((A321-'01_習慣設計'!$B$6+1)/7,0)</f>
        <v>45</v>
      </c>
      <c r="D321" s="41">
        <f>(YEAR(A321)-YEAR('01_習慣設計'!$B$6))*12+MONTH(A321)-MONTH('01_習慣設計'!$B$6)+1</f>
        <v>11</v>
      </c>
      <c r="E321" s="12"/>
      <c r="F321" s="3"/>
      <c r="G321" s="3"/>
      <c r="H321" s="41">
        <f t="shared" si="2"/>
        <v>0</v>
      </c>
    </row>
    <row r="322" ht="21.75" customHeight="1">
      <c r="A322" s="42">
        <v>46514.0</v>
      </c>
      <c r="B322" s="41" t="str">
        <f t="shared" si="1"/>
        <v>金</v>
      </c>
      <c r="C322" s="41">
        <f>ROUNDUP((A322-'01_習慣設計'!$B$6+1)/7,0)</f>
        <v>45</v>
      </c>
      <c r="D322" s="41">
        <f>(YEAR(A322)-YEAR('01_習慣設計'!$B$6))*12+MONTH(A322)-MONTH('01_習慣設計'!$B$6)+1</f>
        <v>11</v>
      </c>
      <c r="E322" s="12"/>
      <c r="F322" s="3"/>
      <c r="G322" s="3"/>
      <c r="H322" s="41">
        <f t="shared" si="2"/>
        <v>0</v>
      </c>
    </row>
    <row r="323" ht="21.75" customHeight="1">
      <c r="A323" s="42">
        <v>46515.0</v>
      </c>
      <c r="B323" s="41" t="str">
        <f t="shared" si="1"/>
        <v>土</v>
      </c>
      <c r="C323" s="41">
        <f>ROUNDUP((A323-'01_習慣設計'!$B$6+1)/7,0)</f>
        <v>45</v>
      </c>
      <c r="D323" s="41">
        <f>(YEAR(A323)-YEAR('01_習慣設計'!$B$6))*12+MONTH(A323)-MONTH('01_習慣設計'!$B$6)+1</f>
        <v>11</v>
      </c>
      <c r="E323" s="12"/>
      <c r="F323" s="3"/>
      <c r="G323" s="3"/>
      <c r="H323" s="41">
        <f t="shared" si="2"/>
        <v>0</v>
      </c>
    </row>
    <row r="324" ht="21.75" customHeight="1">
      <c r="A324" s="42">
        <v>46516.0</v>
      </c>
      <c r="B324" s="41" t="str">
        <f t="shared" si="1"/>
        <v>日</v>
      </c>
      <c r="C324" s="41">
        <f>ROUNDUP((A324-'01_習慣設計'!$B$6+1)/7,0)</f>
        <v>45</v>
      </c>
      <c r="D324" s="41">
        <f>(YEAR(A324)-YEAR('01_習慣設計'!$B$6))*12+MONTH(A324)-MONTH('01_習慣設計'!$B$6)+1</f>
        <v>11</v>
      </c>
      <c r="E324" s="12"/>
      <c r="F324" s="3"/>
      <c r="G324" s="3"/>
      <c r="H324" s="41">
        <f t="shared" si="2"/>
        <v>0</v>
      </c>
    </row>
    <row r="325" ht="21.75" customHeight="1">
      <c r="A325" s="42">
        <v>46517.0</v>
      </c>
      <c r="B325" s="41" t="str">
        <f t="shared" si="1"/>
        <v>月</v>
      </c>
      <c r="C325" s="41">
        <f>ROUNDUP((A325-'01_習慣設計'!$B$6+1)/7,0)</f>
        <v>45</v>
      </c>
      <c r="D325" s="41">
        <f>(YEAR(A325)-YEAR('01_習慣設計'!$B$6))*12+MONTH(A325)-MONTH('01_習慣設計'!$B$6)+1</f>
        <v>11</v>
      </c>
      <c r="E325" s="12"/>
      <c r="F325" s="3"/>
      <c r="G325" s="3"/>
      <c r="H325" s="41">
        <f t="shared" si="2"/>
        <v>0</v>
      </c>
    </row>
    <row r="326" ht="21.75" customHeight="1">
      <c r="A326" s="42">
        <v>46518.0</v>
      </c>
      <c r="B326" s="41" t="str">
        <f t="shared" si="1"/>
        <v>火</v>
      </c>
      <c r="C326" s="41">
        <f>ROUNDUP((A326-'01_習慣設計'!$B$6+1)/7,0)</f>
        <v>45</v>
      </c>
      <c r="D326" s="41">
        <f>(YEAR(A326)-YEAR('01_習慣設計'!$B$6))*12+MONTH(A326)-MONTH('01_習慣設計'!$B$6)+1</f>
        <v>11</v>
      </c>
      <c r="E326" s="12"/>
      <c r="F326" s="3"/>
      <c r="G326" s="3"/>
      <c r="H326" s="41">
        <f t="shared" si="2"/>
        <v>0</v>
      </c>
    </row>
    <row r="327" ht="21.75" customHeight="1">
      <c r="A327" s="42">
        <v>46519.0</v>
      </c>
      <c r="B327" s="41" t="str">
        <f t="shared" si="1"/>
        <v>水</v>
      </c>
      <c r="C327" s="41">
        <f>ROUNDUP((A327-'01_習慣設計'!$B$6+1)/7,0)</f>
        <v>46</v>
      </c>
      <c r="D327" s="41">
        <f>(YEAR(A327)-YEAR('01_習慣設計'!$B$6))*12+MONTH(A327)-MONTH('01_習慣設計'!$B$6)+1</f>
        <v>11</v>
      </c>
      <c r="E327" s="12"/>
      <c r="F327" s="3"/>
      <c r="G327" s="3"/>
      <c r="H327" s="41">
        <f t="shared" si="2"/>
        <v>0</v>
      </c>
    </row>
    <row r="328" ht="21.75" customHeight="1">
      <c r="A328" s="42">
        <v>46520.0</v>
      </c>
      <c r="B328" s="41" t="str">
        <f t="shared" si="1"/>
        <v>木</v>
      </c>
      <c r="C328" s="41">
        <f>ROUNDUP((A328-'01_習慣設計'!$B$6+1)/7,0)</f>
        <v>46</v>
      </c>
      <c r="D328" s="41">
        <f>(YEAR(A328)-YEAR('01_習慣設計'!$B$6))*12+MONTH(A328)-MONTH('01_習慣設計'!$B$6)+1</f>
        <v>11</v>
      </c>
      <c r="E328" s="12"/>
      <c r="F328" s="3"/>
      <c r="G328" s="3"/>
      <c r="H328" s="41">
        <f t="shared" si="2"/>
        <v>0</v>
      </c>
    </row>
    <row r="329" ht="21.75" customHeight="1">
      <c r="A329" s="42">
        <v>46521.0</v>
      </c>
      <c r="B329" s="41" t="str">
        <f t="shared" si="1"/>
        <v>金</v>
      </c>
      <c r="C329" s="41">
        <f>ROUNDUP((A329-'01_習慣設計'!$B$6+1)/7,0)</f>
        <v>46</v>
      </c>
      <c r="D329" s="41">
        <f>(YEAR(A329)-YEAR('01_習慣設計'!$B$6))*12+MONTH(A329)-MONTH('01_習慣設計'!$B$6)+1</f>
        <v>11</v>
      </c>
      <c r="E329" s="12"/>
      <c r="F329" s="3"/>
      <c r="G329" s="3"/>
      <c r="H329" s="41">
        <f t="shared" si="2"/>
        <v>0</v>
      </c>
    </row>
    <row r="330" ht="21.75" customHeight="1">
      <c r="A330" s="42">
        <v>46522.0</v>
      </c>
      <c r="B330" s="41" t="str">
        <f t="shared" si="1"/>
        <v>土</v>
      </c>
      <c r="C330" s="41">
        <f>ROUNDUP((A330-'01_習慣設計'!$B$6+1)/7,0)</f>
        <v>46</v>
      </c>
      <c r="D330" s="41">
        <f>(YEAR(A330)-YEAR('01_習慣設計'!$B$6))*12+MONTH(A330)-MONTH('01_習慣設計'!$B$6)+1</f>
        <v>11</v>
      </c>
      <c r="E330" s="12"/>
      <c r="F330" s="3"/>
      <c r="G330" s="3"/>
      <c r="H330" s="41">
        <f t="shared" si="2"/>
        <v>0</v>
      </c>
    </row>
    <row r="331" ht="21.75" customHeight="1">
      <c r="A331" s="42">
        <v>46523.0</v>
      </c>
      <c r="B331" s="41" t="str">
        <f t="shared" si="1"/>
        <v>日</v>
      </c>
      <c r="C331" s="41">
        <f>ROUNDUP((A331-'01_習慣設計'!$B$6+1)/7,0)</f>
        <v>46</v>
      </c>
      <c r="D331" s="41">
        <f>(YEAR(A331)-YEAR('01_習慣設計'!$B$6))*12+MONTH(A331)-MONTH('01_習慣設計'!$B$6)+1</f>
        <v>11</v>
      </c>
      <c r="E331" s="12"/>
      <c r="F331" s="3"/>
      <c r="G331" s="3"/>
      <c r="H331" s="41">
        <f t="shared" si="2"/>
        <v>0</v>
      </c>
    </row>
    <row r="332" ht="21.75" customHeight="1">
      <c r="A332" s="42">
        <v>46524.0</v>
      </c>
      <c r="B332" s="41" t="str">
        <f t="shared" si="1"/>
        <v>月</v>
      </c>
      <c r="C332" s="41">
        <f>ROUNDUP((A332-'01_習慣設計'!$B$6+1)/7,0)</f>
        <v>46</v>
      </c>
      <c r="D332" s="41">
        <f>(YEAR(A332)-YEAR('01_習慣設計'!$B$6))*12+MONTH(A332)-MONTH('01_習慣設計'!$B$6)+1</f>
        <v>11</v>
      </c>
      <c r="E332" s="12"/>
      <c r="F332" s="3"/>
      <c r="G332" s="3"/>
      <c r="H332" s="41">
        <f t="shared" si="2"/>
        <v>0</v>
      </c>
    </row>
    <row r="333" ht="21.75" customHeight="1">
      <c r="A333" s="42">
        <v>46525.0</v>
      </c>
      <c r="B333" s="41" t="str">
        <f t="shared" si="1"/>
        <v>火</v>
      </c>
      <c r="C333" s="41">
        <f>ROUNDUP((A333-'01_習慣設計'!$B$6+1)/7,0)</f>
        <v>46</v>
      </c>
      <c r="D333" s="41">
        <f>(YEAR(A333)-YEAR('01_習慣設計'!$B$6))*12+MONTH(A333)-MONTH('01_習慣設計'!$B$6)+1</f>
        <v>11</v>
      </c>
      <c r="E333" s="12"/>
      <c r="F333" s="3"/>
      <c r="G333" s="3"/>
      <c r="H333" s="41">
        <f t="shared" si="2"/>
        <v>0</v>
      </c>
    </row>
    <row r="334" ht="21.75" customHeight="1">
      <c r="A334" s="42">
        <v>46526.0</v>
      </c>
      <c r="B334" s="41" t="str">
        <f t="shared" si="1"/>
        <v>水</v>
      </c>
      <c r="C334" s="41">
        <f>ROUNDUP((A334-'01_習慣設計'!$B$6+1)/7,0)</f>
        <v>47</v>
      </c>
      <c r="D334" s="41">
        <f>(YEAR(A334)-YEAR('01_習慣設計'!$B$6))*12+MONTH(A334)-MONTH('01_習慣設計'!$B$6)+1</f>
        <v>11</v>
      </c>
      <c r="E334" s="12"/>
      <c r="F334" s="3"/>
      <c r="G334" s="3"/>
      <c r="H334" s="41">
        <f t="shared" si="2"/>
        <v>0</v>
      </c>
    </row>
    <row r="335" ht="21.75" customHeight="1">
      <c r="A335" s="42">
        <v>46527.0</v>
      </c>
      <c r="B335" s="41" t="str">
        <f t="shared" si="1"/>
        <v>木</v>
      </c>
      <c r="C335" s="41">
        <f>ROUNDUP((A335-'01_習慣設計'!$B$6+1)/7,0)</f>
        <v>47</v>
      </c>
      <c r="D335" s="41">
        <f>(YEAR(A335)-YEAR('01_習慣設計'!$B$6))*12+MONTH(A335)-MONTH('01_習慣設計'!$B$6)+1</f>
        <v>11</v>
      </c>
      <c r="E335" s="12"/>
      <c r="F335" s="3"/>
      <c r="G335" s="3"/>
      <c r="H335" s="41">
        <f t="shared" si="2"/>
        <v>0</v>
      </c>
    </row>
    <row r="336" ht="21.75" customHeight="1">
      <c r="A336" s="42">
        <v>46528.0</v>
      </c>
      <c r="B336" s="41" t="str">
        <f t="shared" si="1"/>
        <v>金</v>
      </c>
      <c r="C336" s="41">
        <f>ROUNDUP((A336-'01_習慣設計'!$B$6+1)/7,0)</f>
        <v>47</v>
      </c>
      <c r="D336" s="41">
        <f>(YEAR(A336)-YEAR('01_習慣設計'!$B$6))*12+MONTH(A336)-MONTH('01_習慣設計'!$B$6)+1</f>
        <v>11</v>
      </c>
      <c r="E336" s="12"/>
      <c r="F336" s="3"/>
      <c r="G336" s="3"/>
      <c r="H336" s="41">
        <f t="shared" si="2"/>
        <v>0</v>
      </c>
    </row>
    <row r="337" ht="21.75" customHeight="1">
      <c r="A337" s="42">
        <v>46529.0</v>
      </c>
      <c r="B337" s="41" t="str">
        <f t="shared" si="1"/>
        <v>土</v>
      </c>
      <c r="C337" s="41">
        <f>ROUNDUP((A337-'01_習慣設計'!$B$6+1)/7,0)</f>
        <v>47</v>
      </c>
      <c r="D337" s="41">
        <f>(YEAR(A337)-YEAR('01_習慣設計'!$B$6))*12+MONTH(A337)-MONTH('01_習慣設計'!$B$6)+1</f>
        <v>11</v>
      </c>
      <c r="E337" s="12"/>
      <c r="F337" s="3"/>
      <c r="G337" s="3"/>
      <c r="H337" s="41">
        <f t="shared" si="2"/>
        <v>0</v>
      </c>
    </row>
    <row r="338" ht="21.75" customHeight="1">
      <c r="A338" s="42">
        <v>46530.0</v>
      </c>
      <c r="B338" s="41" t="str">
        <f t="shared" si="1"/>
        <v>日</v>
      </c>
      <c r="C338" s="41">
        <f>ROUNDUP((A338-'01_習慣設計'!$B$6+1)/7,0)</f>
        <v>47</v>
      </c>
      <c r="D338" s="41">
        <f>(YEAR(A338)-YEAR('01_習慣設計'!$B$6))*12+MONTH(A338)-MONTH('01_習慣設計'!$B$6)+1</f>
        <v>11</v>
      </c>
      <c r="E338" s="12"/>
      <c r="F338" s="3"/>
      <c r="G338" s="3"/>
      <c r="H338" s="41">
        <f t="shared" si="2"/>
        <v>0</v>
      </c>
    </row>
    <row r="339" ht="21.75" customHeight="1">
      <c r="A339" s="42">
        <v>46531.0</v>
      </c>
      <c r="B339" s="41" t="str">
        <f t="shared" si="1"/>
        <v>月</v>
      </c>
      <c r="C339" s="41">
        <f>ROUNDUP((A339-'01_習慣設計'!$B$6+1)/7,0)</f>
        <v>47</v>
      </c>
      <c r="D339" s="41">
        <f>(YEAR(A339)-YEAR('01_習慣設計'!$B$6))*12+MONTH(A339)-MONTH('01_習慣設計'!$B$6)+1</f>
        <v>11</v>
      </c>
      <c r="E339" s="12"/>
      <c r="F339" s="3"/>
      <c r="G339" s="3"/>
      <c r="H339" s="41">
        <f t="shared" si="2"/>
        <v>0</v>
      </c>
    </row>
    <row r="340" ht="21.75" customHeight="1">
      <c r="A340" s="42">
        <v>46532.0</v>
      </c>
      <c r="B340" s="41" t="str">
        <f t="shared" si="1"/>
        <v>火</v>
      </c>
      <c r="C340" s="41">
        <f>ROUNDUP((A340-'01_習慣設計'!$B$6+1)/7,0)</f>
        <v>47</v>
      </c>
      <c r="D340" s="41">
        <f>(YEAR(A340)-YEAR('01_習慣設計'!$B$6))*12+MONTH(A340)-MONTH('01_習慣設計'!$B$6)+1</f>
        <v>11</v>
      </c>
      <c r="E340" s="12"/>
      <c r="F340" s="3"/>
      <c r="G340" s="3"/>
      <c r="H340" s="41">
        <f t="shared" si="2"/>
        <v>0</v>
      </c>
    </row>
    <row r="341" ht="21.75" customHeight="1">
      <c r="A341" s="42">
        <v>46533.0</v>
      </c>
      <c r="B341" s="41" t="str">
        <f t="shared" si="1"/>
        <v>水</v>
      </c>
      <c r="C341" s="41">
        <f>ROUNDUP((A341-'01_習慣設計'!$B$6+1)/7,0)</f>
        <v>48</v>
      </c>
      <c r="D341" s="41">
        <f>(YEAR(A341)-YEAR('01_習慣設計'!$B$6))*12+MONTH(A341)-MONTH('01_習慣設計'!$B$6)+1</f>
        <v>11</v>
      </c>
      <c r="E341" s="12"/>
      <c r="F341" s="3"/>
      <c r="G341" s="3"/>
      <c r="H341" s="41">
        <f t="shared" si="2"/>
        <v>0</v>
      </c>
    </row>
    <row r="342" ht="21.75" customHeight="1">
      <c r="A342" s="42">
        <v>46534.0</v>
      </c>
      <c r="B342" s="41" t="str">
        <f t="shared" si="1"/>
        <v>木</v>
      </c>
      <c r="C342" s="41">
        <f>ROUNDUP((A342-'01_習慣設計'!$B$6+1)/7,0)</f>
        <v>48</v>
      </c>
      <c r="D342" s="41">
        <f>(YEAR(A342)-YEAR('01_習慣設計'!$B$6))*12+MONTH(A342)-MONTH('01_習慣設計'!$B$6)+1</f>
        <v>11</v>
      </c>
      <c r="E342" s="12"/>
      <c r="F342" s="3"/>
      <c r="G342" s="3"/>
      <c r="H342" s="41">
        <f t="shared" si="2"/>
        <v>0</v>
      </c>
    </row>
    <row r="343" ht="21.75" customHeight="1">
      <c r="A343" s="42">
        <v>46535.0</v>
      </c>
      <c r="B343" s="41" t="str">
        <f t="shared" si="1"/>
        <v>金</v>
      </c>
      <c r="C343" s="41">
        <f>ROUNDUP((A343-'01_習慣設計'!$B$6+1)/7,0)</f>
        <v>48</v>
      </c>
      <c r="D343" s="41">
        <f>(YEAR(A343)-YEAR('01_習慣設計'!$B$6))*12+MONTH(A343)-MONTH('01_習慣設計'!$B$6)+1</f>
        <v>11</v>
      </c>
      <c r="E343" s="12"/>
      <c r="F343" s="3"/>
      <c r="G343" s="3"/>
      <c r="H343" s="41">
        <f t="shared" si="2"/>
        <v>0</v>
      </c>
    </row>
    <row r="344" ht="21.75" customHeight="1">
      <c r="A344" s="42">
        <v>46536.0</v>
      </c>
      <c r="B344" s="41" t="str">
        <f t="shared" si="1"/>
        <v>土</v>
      </c>
      <c r="C344" s="41">
        <f>ROUNDUP((A344-'01_習慣設計'!$B$6+1)/7,0)</f>
        <v>48</v>
      </c>
      <c r="D344" s="41">
        <f>(YEAR(A344)-YEAR('01_習慣設計'!$B$6))*12+MONTH(A344)-MONTH('01_習慣設計'!$B$6)+1</f>
        <v>11</v>
      </c>
      <c r="E344" s="12"/>
      <c r="F344" s="3"/>
      <c r="G344" s="3"/>
      <c r="H344" s="41">
        <f t="shared" si="2"/>
        <v>0</v>
      </c>
    </row>
    <row r="345" ht="21.75" customHeight="1">
      <c r="A345" s="42">
        <v>46537.0</v>
      </c>
      <c r="B345" s="41" t="str">
        <f t="shared" si="1"/>
        <v>日</v>
      </c>
      <c r="C345" s="41">
        <f>ROUNDUP((A345-'01_習慣設計'!$B$6+1)/7,0)</f>
        <v>48</v>
      </c>
      <c r="D345" s="41">
        <f>(YEAR(A345)-YEAR('01_習慣設計'!$B$6))*12+MONTH(A345)-MONTH('01_習慣設計'!$B$6)+1</f>
        <v>11</v>
      </c>
      <c r="E345" s="12"/>
      <c r="F345" s="3"/>
      <c r="G345" s="3"/>
      <c r="H345" s="41">
        <f t="shared" si="2"/>
        <v>0</v>
      </c>
    </row>
    <row r="346" ht="21.75" customHeight="1">
      <c r="A346" s="42">
        <v>46538.0</v>
      </c>
      <c r="B346" s="41" t="str">
        <f t="shared" si="1"/>
        <v>月</v>
      </c>
      <c r="C346" s="41">
        <f>ROUNDUP((A346-'01_習慣設計'!$B$6+1)/7,0)</f>
        <v>48</v>
      </c>
      <c r="D346" s="41">
        <f>(YEAR(A346)-YEAR('01_習慣設計'!$B$6))*12+MONTH(A346)-MONTH('01_習慣設計'!$B$6)+1</f>
        <v>11</v>
      </c>
      <c r="E346" s="12"/>
      <c r="F346" s="3"/>
      <c r="G346" s="3"/>
      <c r="H346" s="41">
        <f t="shared" si="2"/>
        <v>0</v>
      </c>
    </row>
    <row r="347" ht="21.75" customHeight="1">
      <c r="A347" s="42">
        <v>46539.0</v>
      </c>
      <c r="B347" s="41" t="str">
        <f t="shared" si="1"/>
        <v>火</v>
      </c>
      <c r="C347" s="41">
        <f>ROUNDUP((A347-'01_習慣設計'!$B$6+1)/7,0)</f>
        <v>48</v>
      </c>
      <c r="D347" s="41">
        <f>(YEAR(A347)-YEAR('01_習慣設計'!$B$6))*12+MONTH(A347)-MONTH('01_習慣設計'!$B$6)+1</f>
        <v>12</v>
      </c>
      <c r="E347" s="12"/>
      <c r="F347" s="3"/>
      <c r="G347" s="3"/>
      <c r="H347" s="41">
        <f t="shared" si="2"/>
        <v>0</v>
      </c>
    </row>
    <row r="348" ht="21.75" customHeight="1">
      <c r="A348" s="42">
        <v>46540.0</v>
      </c>
      <c r="B348" s="41" t="str">
        <f t="shared" si="1"/>
        <v>水</v>
      </c>
      <c r="C348" s="41">
        <f>ROUNDUP((A348-'01_習慣設計'!$B$6+1)/7,0)</f>
        <v>49</v>
      </c>
      <c r="D348" s="41">
        <f>(YEAR(A348)-YEAR('01_習慣設計'!$B$6))*12+MONTH(A348)-MONTH('01_習慣設計'!$B$6)+1</f>
        <v>12</v>
      </c>
      <c r="E348" s="12"/>
      <c r="F348" s="3"/>
      <c r="G348" s="3"/>
      <c r="H348" s="41">
        <f t="shared" si="2"/>
        <v>0</v>
      </c>
    </row>
    <row r="349" ht="21.75" customHeight="1">
      <c r="A349" s="42">
        <v>46541.0</v>
      </c>
      <c r="B349" s="41" t="str">
        <f t="shared" si="1"/>
        <v>木</v>
      </c>
      <c r="C349" s="41">
        <f>ROUNDUP((A349-'01_習慣設計'!$B$6+1)/7,0)</f>
        <v>49</v>
      </c>
      <c r="D349" s="41">
        <f>(YEAR(A349)-YEAR('01_習慣設計'!$B$6))*12+MONTH(A349)-MONTH('01_習慣設計'!$B$6)+1</f>
        <v>12</v>
      </c>
      <c r="E349" s="12"/>
      <c r="F349" s="3"/>
      <c r="G349" s="3"/>
      <c r="H349" s="41">
        <f t="shared" si="2"/>
        <v>0</v>
      </c>
    </row>
    <row r="350" ht="21.75" customHeight="1">
      <c r="A350" s="42">
        <v>46542.0</v>
      </c>
      <c r="B350" s="41" t="str">
        <f t="shared" si="1"/>
        <v>金</v>
      </c>
      <c r="C350" s="41">
        <f>ROUNDUP((A350-'01_習慣設計'!$B$6+1)/7,0)</f>
        <v>49</v>
      </c>
      <c r="D350" s="41">
        <f>(YEAR(A350)-YEAR('01_習慣設計'!$B$6))*12+MONTH(A350)-MONTH('01_習慣設計'!$B$6)+1</f>
        <v>12</v>
      </c>
      <c r="E350" s="12"/>
      <c r="F350" s="3"/>
      <c r="G350" s="3"/>
      <c r="H350" s="41">
        <f t="shared" si="2"/>
        <v>0</v>
      </c>
    </row>
    <row r="351" ht="21.75" customHeight="1">
      <c r="A351" s="42">
        <v>46543.0</v>
      </c>
      <c r="B351" s="41" t="str">
        <f t="shared" si="1"/>
        <v>土</v>
      </c>
      <c r="C351" s="41">
        <f>ROUNDUP((A351-'01_習慣設計'!$B$6+1)/7,0)</f>
        <v>49</v>
      </c>
      <c r="D351" s="41">
        <f>(YEAR(A351)-YEAR('01_習慣設計'!$B$6))*12+MONTH(A351)-MONTH('01_習慣設計'!$B$6)+1</f>
        <v>12</v>
      </c>
      <c r="E351" s="12"/>
      <c r="F351" s="3"/>
      <c r="G351" s="3"/>
      <c r="H351" s="41">
        <f t="shared" si="2"/>
        <v>0</v>
      </c>
    </row>
    <row r="352" ht="21.75" customHeight="1">
      <c r="A352" s="42">
        <v>46544.0</v>
      </c>
      <c r="B352" s="41" t="str">
        <f t="shared" si="1"/>
        <v>日</v>
      </c>
      <c r="C352" s="41">
        <f>ROUNDUP((A352-'01_習慣設計'!$B$6+1)/7,0)</f>
        <v>49</v>
      </c>
      <c r="D352" s="41">
        <f>(YEAR(A352)-YEAR('01_習慣設計'!$B$6))*12+MONTH(A352)-MONTH('01_習慣設計'!$B$6)+1</f>
        <v>12</v>
      </c>
      <c r="E352" s="12"/>
      <c r="F352" s="3"/>
      <c r="G352" s="3"/>
      <c r="H352" s="41">
        <f t="shared" si="2"/>
        <v>0</v>
      </c>
    </row>
    <row r="353" ht="21.75" customHeight="1">
      <c r="A353" s="42">
        <v>46545.0</v>
      </c>
      <c r="B353" s="41" t="str">
        <f t="shared" si="1"/>
        <v>月</v>
      </c>
      <c r="C353" s="41">
        <f>ROUNDUP((A353-'01_習慣設計'!$B$6+1)/7,0)</f>
        <v>49</v>
      </c>
      <c r="D353" s="41">
        <f>(YEAR(A353)-YEAR('01_習慣設計'!$B$6))*12+MONTH(A353)-MONTH('01_習慣設計'!$B$6)+1</f>
        <v>12</v>
      </c>
      <c r="E353" s="12"/>
      <c r="F353" s="3"/>
      <c r="G353" s="3"/>
      <c r="H353" s="41">
        <f t="shared" si="2"/>
        <v>0</v>
      </c>
    </row>
    <row r="354" ht="21.75" customHeight="1">
      <c r="A354" s="42">
        <v>46546.0</v>
      </c>
      <c r="B354" s="41" t="str">
        <f t="shared" si="1"/>
        <v>火</v>
      </c>
      <c r="C354" s="41">
        <f>ROUNDUP((A354-'01_習慣設計'!$B$6+1)/7,0)</f>
        <v>49</v>
      </c>
      <c r="D354" s="41">
        <f>(YEAR(A354)-YEAR('01_習慣設計'!$B$6))*12+MONTH(A354)-MONTH('01_習慣設計'!$B$6)+1</f>
        <v>12</v>
      </c>
      <c r="E354" s="12"/>
      <c r="F354" s="3"/>
      <c r="G354" s="3"/>
      <c r="H354" s="41">
        <f t="shared" si="2"/>
        <v>0</v>
      </c>
    </row>
    <row r="355" ht="21.75" customHeight="1">
      <c r="A355" s="42">
        <v>46547.0</v>
      </c>
      <c r="B355" s="41" t="str">
        <f t="shared" si="1"/>
        <v>水</v>
      </c>
      <c r="C355" s="41">
        <f>ROUNDUP((A355-'01_習慣設計'!$B$6+1)/7,0)</f>
        <v>50</v>
      </c>
      <c r="D355" s="41">
        <f>(YEAR(A355)-YEAR('01_習慣設計'!$B$6))*12+MONTH(A355)-MONTH('01_習慣設計'!$B$6)+1</f>
        <v>12</v>
      </c>
      <c r="E355" s="12"/>
      <c r="F355" s="3"/>
      <c r="G355" s="3"/>
      <c r="H355" s="41">
        <f t="shared" si="2"/>
        <v>0</v>
      </c>
    </row>
    <row r="356" ht="21.75" customHeight="1">
      <c r="A356" s="42">
        <v>46548.0</v>
      </c>
      <c r="B356" s="41" t="str">
        <f t="shared" si="1"/>
        <v>木</v>
      </c>
      <c r="C356" s="41">
        <f>ROUNDUP((A356-'01_習慣設計'!$B$6+1)/7,0)</f>
        <v>50</v>
      </c>
      <c r="D356" s="41">
        <f>(YEAR(A356)-YEAR('01_習慣設計'!$B$6))*12+MONTH(A356)-MONTH('01_習慣設計'!$B$6)+1</f>
        <v>12</v>
      </c>
      <c r="E356" s="12"/>
      <c r="F356" s="3"/>
      <c r="G356" s="3"/>
      <c r="H356" s="41">
        <f t="shared" si="2"/>
        <v>0</v>
      </c>
    </row>
    <row r="357" ht="21.75" customHeight="1">
      <c r="A357" s="42">
        <v>46549.0</v>
      </c>
      <c r="B357" s="41" t="str">
        <f t="shared" si="1"/>
        <v>金</v>
      </c>
      <c r="C357" s="41">
        <f>ROUNDUP((A357-'01_習慣設計'!$B$6+1)/7,0)</f>
        <v>50</v>
      </c>
      <c r="D357" s="41">
        <f>(YEAR(A357)-YEAR('01_習慣設計'!$B$6))*12+MONTH(A357)-MONTH('01_習慣設計'!$B$6)+1</f>
        <v>12</v>
      </c>
      <c r="E357" s="12"/>
      <c r="F357" s="3"/>
      <c r="G357" s="3"/>
      <c r="H357" s="41">
        <f t="shared" si="2"/>
        <v>0</v>
      </c>
    </row>
    <row r="358" ht="21.75" customHeight="1">
      <c r="A358" s="42">
        <v>46550.0</v>
      </c>
      <c r="B358" s="41" t="str">
        <f t="shared" si="1"/>
        <v>土</v>
      </c>
      <c r="C358" s="41">
        <f>ROUNDUP((A358-'01_習慣設計'!$B$6+1)/7,0)</f>
        <v>50</v>
      </c>
      <c r="D358" s="41">
        <f>(YEAR(A358)-YEAR('01_習慣設計'!$B$6))*12+MONTH(A358)-MONTH('01_習慣設計'!$B$6)+1</f>
        <v>12</v>
      </c>
      <c r="E358" s="12"/>
      <c r="F358" s="3"/>
      <c r="G358" s="3"/>
      <c r="H358" s="41">
        <f t="shared" si="2"/>
        <v>0</v>
      </c>
    </row>
    <row r="359" ht="21.75" customHeight="1">
      <c r="A359" s="42">
        <v>46551.0</v>
      </c>
      <c r="B359" s="41" t="str">
        <f t="shared" si="1"/>
        <v>日</v>
      </c>
      <c r="C359" s="41">
        <f>ROUNDUP((A359-'01_習慣設計'!$B$6+1)/7,0)</f>
        <v>50</v>
      </c>
      <c r="D359" s="41">
        <f>(YEAR(A359)-YEAR('01_習慣設計'!$B$6))*12+MONTH(A359)-MONTH('01_習慣設計'!$B$6)+1</f>
        <v>12</v>
      </c>
      <c r="E359" s="12"/>
      <c r="F359" s="3"/>
      <c r="G359" s="3"/>
      <c r="H359" s="41">
        <f t="shared" si="2"/>
        <v>0</v>
      </c>
    </row>
    <row r="360" ht="21.75" customHeight="1">
      <c r="A360" s="42">
        <v>46552.0</v>
      </c>
      <c r="B360" s="41" t="str">
        <f t="shared" si="1"/>
        <v>月</v>
      </c>
      <c r="C360" s="41">
        <f>ROUNDUP((A360-'01_習慣設計'!$B$6+1)/7,0)</f>
        <v>50</v>
      </c>
      <c r="D360" s="41">
        <f>(YEAR(A360)-YEAR('01_習慣設計'!$B$6))*12+MONTH(A360)-MONTH('01_習慣設計'!$B$6)+1</f>
        <v>12</v>
      </c>
      <c r="E360" s="12"/>
      <c r="F360" s="3"/>
      <c r="G360" s="3"/>
      <c r="H360" s="41">
        <f t="shared" si="2"/>
        <v>0</v>
      </c>
    </row>
    <row r="361" ht="21.75" customHeight="1">
      <c r="A361" s="42">
        <v>46553.0</v>
      </c>
      <c r="B361" s="41" t="str">
        <f t="shared" si="1"/>
        <v>火</v>
      </c>
      <c r="C361" s="41">
        <f>ROUNDUP((A361-'01_習慣設計'!$B$6+1)/7,0)</f>
        <v>50</v>
      </c>
      <c r="D361" s="41">
        <f>(YEAR(A361)-YEAR('01_習慣設計'!$B$6))*12+MONTH(A361)-MONTH('01_習慣設計'!$B$6)+1</f>
        <v>12</v>
      </c>
      <c r="E361" s="12"/>
      <c r="F361" s="3"/>
      <c r="G361" s="3"/>
      <c r="H361" s="41">
        <f t="shared" si="2"/>
        <v>0</v>
      </c>
    </row>
    <row r="362" ht="21.75" customHeight="1">
      <c r="A362" s="42">
        <v>46554.0</v>
      </c>
      <c r="B362" s="41" t="str">
        <f t="shared" si="1"/>
        <v>水</v>
      </c>
      <c r="C362" s="41">
        <f>ROUNDUP((A362-'01_習慣設計'!$B$6+1)/7,0)</f>
        <v>51</v>
      </c>
      <c r="D362" s="41">
        <f>(YEAR(A362)-YEAR('01_習慣設計'!$B$6))*12+MONTH(A362)-MONTH('01_習慣設計'!$B$6)+1</f>
        <v>12</v>
      </c>
      <c r="E362" s="12"/>
      <c r="F362" s="3"/>
      <c r="G362" s="3"/>
      <c r="H362" s="41">
        <f t="shared" si="2"/>
        <v>0</v>
      </c>
    </row>
    <row r="363" ht="21.75" customHeight="1">
      <c r="A363" s="42">
        <v>46555.0</v>
      </c>
      <c r="B363" s="41" t="str">
        <f t="shared" si="1"/>
        <v>木</v>
      </c>
      <c r="C363" s="41">
        <f>ROUNDUP((A363-'01_習慣設計'!$B$6+1)/7,0)</f>
        <v>51</v>
      </c>
      <c r="D363" s="41">
        <f>(YEAR(A363)-YEAR('01_習慣設計'!$B$6))*12+MONTH(A363)-MONTH('01_習慣設計'!$B$6)+1</f>
        <v>12</v>
      </c>
      <c r="E363" s="12"/>
      <c r="F363" s="3"/>
      <c r="G363" s="3"/>
      <c r="H363" s="41">
        <f t="shared" si="2"/>
        <v>0</v>
      </c>
    </row>
    <row r="364" ht="21.75" customHeight="1">
      <c r="A364" s="42">
        <v>46556.0</v>
      </c>
      <c r="B364" s="41" t="str">
        <f t="shared" si="1"/>
        <v>金</v>
      </c>
      <c r="C364" s="41">
        <f>ROUNDUP((A364-'01_習慣設計'!$B$6+1)/7,0)</f>
        <v>51</v>
      </c>
      <c r="D364" s="41">
        <f>(YEAR(A364)-YEAR('01_習慣設計'!$B$6))*12+MONTH(A364)-MONTH('01_習慣設計'!$B$6)+1</f>
        <v>12</v>
      </c>
      <c r="E364" s="12"/>
      <c r="F364" s="3"/>
      <c r="G364" s="3"/>
      <c r="H364" s="41">
        <f t="shared" si="2"/>
        <v>0</v>
      </c>
    </row>
    <row r="365" ht="21.75" customHeight="1">
      <c r="A365" s="42">
        <v>46557.0</v>
      </c>
      <c r="B365" s="41" t="str">
        <f t="shared" si="1"/>
        <v>土</v>
      </c>
      <c r="C365" s="41">
        <f>ROUNDUP((A365-'01_習慣設計'!$B$6+1)/7,0)</f>
        <v>51</v>
      </c>
      <c r="D365" s="41">
        <f>(YEAR(A365)-YEAR('01_習慣設計'!$B$6))*12+MONTH(A365)-MONTH('01_習慣設計'!$B$6)+1</f>
        <v>12</v>
      </c>
      <c r="E365" s="12"/>
      <c r="F365" s="3"/>
      <c r="G365" s="3"/>
      <c r="H365" s="41">
        <f t="shared" si="2"/>
        <v>0</v>
      </c>
    </row>
    <row r="366" ht="21.75" customHeight="1">
      <c r="A366" s="42">
        <v>46558.0</v>
      </c>
      <c r="B366" s="41" t="str">
        <f t="shared" si="1"/>
        <v>日</v>
      </c>
      <c r="C366" s="41">
        <f>ROUNDUP((A366-'01_習慣設計'!$B$6+1)/7,0)</f>
        <v>51</v>
      </c>
      <c r="D366" s="41">
        <f>(YEAR(A366)-YEAR('01_習慣設計'!$B$6))*12+MONTH(A366)-MONTH('01_習慣設計'!$B$6)+1</f>
        <v>12</v>
      </c>
      <c r="E366" s="12"/>
      <c r="F366" s="3"/>
      <c r="G366" s="3"/>
      <c r="H366" s="41">
        <f t="shared" si="2"/>
        <v>0</v>
      </c>
    </row>
    <row r="367" ht="21.75" customHeight="1">
      <c r="A367" s="42">
        <v>46559.0</v>
      </c>
      <c r="B367" s="41" t="str">
        <f t="shared" si="1"/>
        <v>月</v>
      </c>
      <c r="C367" s="41">
        <f>ROUNDUP((A367-'01_習慣設計'!$B$6+1)/7,0)</f>
        <v>51</v>
      </c>
      <c r="D367" s="41">
        <f>(YEAR(A367)-YEAR('01_習慣設計'!$B$6))*12+MONTH(A367)-MONTH('01_習慣設計'!$B$6)+1</f>
        <v>12</v>
      </c>
      <c r="E367" s="12"/>
      <c r="F367" s="3"/>
      <c r="G367" s="3"/>
      <c r="H367" s="41">
        <f t="shared" si="2"/>
        <v>0</v>
      </c>
    </row>
    <row r="368" ht="21.75" customHeight="1">
      <c r="A368" s="42">
        <v>46560.0</v>
      </c>
      <c r="B368" s="41" t="str">
        <f t="shared" si="1"/>
        <v>火</v>
      </c>
      <c r="C368" s="41">
        <f>ROUNDUP((A368-'01_習慣設計'!$B$6+1)/7,0)</f>
        <v>51</v>
      </c>
      <c r="D368" s="41">
        <f>(YEAR(A368)-YEAR('01_習慣設計'!$B$6))*12+MONTH(A368)-MONTH('01_習慣設計'!$B$6)+1</f>
        <v>12</v>
      </c>
      <c r="E368" s="12"/>
      <c r="F368" s="3"/>
      <c r="G368" s="3"/>
      <c r="H368" s="41">
        <f t="shared" si="2"/>
        <v>0</v>
      </c>
    </row>
    <row r="369" ht="21.75" customHeight="1">
      <c r="A369" s="42">
        <v>46561.0</v>
      </c>
      <c r="B369" s="41" t="str">
        <f t="shared" si="1"/>
        <v>水</v>
      </c>
      <c r="C369" s="41">
        <f>ROUNDUP((A369-'01_習慣設計'!$B$6+1)/7,0)</f>
        <v>52</v>
      </c>
      <c r="D369" s="41">
        <f>(YEAR(A369)-YEAR('01_習慣設計'!$B$6))*12+MONTH(A369)-MONTH('01_習慣設計'!$B$6)+1</f>
        <v>12</v>
      </c>
      <c r="E369" s="12"/>
      <c r="F369" s="3"/>
      <c r="G369" s="3"/>
      <c r="H369" s="41">
        <f t="shared" si="2"/>
        <v>0</v>
      </c>
    </row>
    <row r="370" ht="21.75" customHeight="1">
      <c r="A370" s="42">
        <v>46562.0</v>
      </c>
      <c r="B370" s="41" t="str">
        <f t="shared" si="1"/>
        <v>木</v>
      </c>
      <c r="C370" s="41">
        <f>ROUNDUP((A370-'01_習慣設計'!$B$6+1)/7,0)</f>
        <v>52</v>
      </c>
      <c r="D370" s="41">
        <f>(YEAR(A370)-YEAR('01_習慣設計'!$B$6))*12+MONTH(A370)-MONTH('01_習慣設計'!$B$6)+1</f>
        <v>12</v>
      </c>
      <c r="E370" s="12"/>
      <c r="F370" s="3"/>
      <c r="G370" s="3"/>
      <c r="H370" s="41">
        <f t="shared" si="2"/>
        <v>0</v>
      </c>
    </row>
    <row r="371" ht="21.75" customHeight="1">
      <c r="A371" s="42">
        <v>46563.0</v>
      </c>
      <c r="B371" s="41" t="str">
        <f t="shared" si="1"/>
        <v>金</v>
      </c>
      <c r="C371" s="41">
        <f>ROUNDUP((A371-'01_習慣設計'!$B$6+1)/7,0)</f>
        <v>52</v>
      </c>
      <c r="D371" s="41">
        <f>(YEAR(A371)-YEAR('01_習慣設計'!$B$6))*12+MONTH(A371)-MONTH('01_習慣設計'!$B$6)+1</f>
        <v>12</v>
      </c>
      <c r="E371" s="12"/>
      <c r="F371" s="3"/>
      <c r="G371" s="3"/>
      <c r="H371" s="41">
        <f t="shared" si="2"/>
        <v>0</v>
      </c>
    </row>
    <row r="372" ht="21.75" customHeight="1">
      <c r="A372" s="42">
        <v>46564.0</v>
      </c>
      <c r="B372" s="41" t="str">
        <f t="shared" si="1"/>
        <v>土</v>
      </c>
      <c r="C372" s="41">
        <f>ROUNDUP((A372-'01_習慣設計'!$B$6+1)/7,0)</f>
        <v>52</v>
      </c>
      <c r="D372" s="41">
        <f>(YEAR(A372)-YEAR('01_習慣設計'!$B$6))*12+MONTH(A372)-MONTH('01_習慣設計'!$B$6)+1</f>
        <v>12</v>
      </c>
      <c r="E372" s="12"/>
      <c r="F372" s="3"/>
      <c r="G372" s="3"/>
      <c r="H372" s="41">
        <f t="shared" si="2"/>
        <v>0</v>
      </c>
    </row>
    <row r="373" ht="21.75" customHeight="1">
      <c r="A373" s="42">
        <v>46565.0</v>
      </c>
      <c r="B373" s="41" t="str">
        <f t="shared" si="1"/>
        <v>日</v>
      </c>
      <c r="C373" s="41">
        <f>ROUNDUP((A373-'01_習慣設計'!$B$6+1)/7,0)</f>
        <v>52</v>
      </c>
      <c r="D373" s="41">
        <f>(YEAR(A373)-YEAR('01_習慣設計'!$B$6))*12+MONTH(A373)-MONTH('01_習慣設計'!$B$6)+1</f>
        <v>12</v>
      </c>
      <c r="E373" s="12"/>
      <c r="F373" s="3"/>
      <c r="G373" s="3"/>
      <c r="H373" s="41">
        <f t="shared" si="2"/>
        <v>0</v>
      </c>
    </row>
    <row r="374" ht="21.75" customHeight="1">
      <c r="A374" s="42">
        <v>46566.0</v>
      </c>
      <c r="B374" s="41" t="str">
        <f t="shared" si="1"/>
        <v>月</v>
      </c>
      <c r="C374" s="41">
        <f>ROUNDUP((A374-'01_習慣設計'!$B$6+1)/7,0)</f>
        <v>52</v>
      </c>
      <c r="D374" s="41">
        <f>(YEAR(A374)-YEAR('01_習慣設計'!$B$6))*12+MONTH(A374)-MONTH('01_習慣設計'!$B$6)+1</f>
        <v>12</v>
      </c>
      <c r="E374" s="12"/>
      <c r="F374" s="3"/>
      <c r="G374" s="3"/>
      <c r="H374" s="41">
        <f t="shared" si="2"/>
        <v>0</v>
      </c>
    </row>
    <row r="375" ht="21.75" customHeight="1">
      <c r="A375" s="42">
        <v>46567.0</v>
      </c>
      <c r="B375" s="41" t="str">
        <f t="shared" si="1"/>
        <v>火</v>
      </c>
      <c r="C375" s="41">
        <f>ROUNDUP((A375-'01_習慣設計'!$B$6+1)/7,0)</f>
        <v>52</v>
      </c>
      <c r="D375" s="41">
        <f>(YEAR(A375)-YEAR('01_習慣設計'!$B$6))*12+MONTH(A375)-MONTH('01_習慣設計'!$B$6)+1</f>
        <v>12</v>
      </c>
      <c r="E375" s="12"/>
      <c r="F375" s="3"/>
      <c r="G375" s="3"/>
      <c r="H375" s="41">
        <f t="shared" si="2"/>
        <v>0</v>
      </c>
    </row>
    <row r="376" ht="21.75" customHeight="1">
      <c r="A376" s="42">
        <v>46568.0</v>
      </c>
      <c r="B376" s="41" t="str">
        <f t="shared" si="1"/>
        <v>水</v>
      </c>
      <c r="C376" s="41">
        <f>ROUNDUP((A376-'01_習慣設計'!$B$6+1)/7,0)</f>
        <v>53</v>
      </c>
      <c r="D376" s="41">
        <f>(YEAR(A376)-YEAR('01_習慣設計'!$B$6))*12+MONTH(A376)-MONTH('01_習慣設計'!$B$6)+1</f>
        <v>12</v>
      </c>
      <c r="E376" s="12"/>
      <c r="F376" s="3"/>
      <c r="G376" s="3"/>
      <c r="H376" s="41">
        <f t="shared" si="2"/>
        <v>0</v>
      </c>
    </row>
    <row r="377" ht="21.75" customHeight="1">
      <c r="A377" s="42">
        <v>46569.0</v>
      </c>
      <c r="B377" s="41" t="str">
        <f t="shared" si="1"/>
        <v>木</v>
      </c>
      <c r="C377" s="41">
        <f>ROUNDUP((A377-'01_習慣設計'!$B$6+1)/7,0)</f>
        <v>53</v>
      </c>
      <c r="D377" s="41">
        <f>(YEAR(A377)-YEAR('01_習慣設計'!$B$6))*12+MONTH(A377)-MONTH('01_習慣設計'!$B$6)+1</f>
        <v>13</v>
      </c>
      <c r="E377" s="12"/>
      <c r="F377" s="3"/>
      <c r="G377" s="3"/>
      <c r="H377" s="41">
        <f t="shared" si="2"/>
        <v>0</v>
      </c>
    </row>
    <row r="378" ht="21.75" customHeight="1">
      <c r="A378" s="42">
        <v>46570.0</v>
      </c>
      <c r="B378" s="41" t="str">
        <f t="shared" si="1"/>
        <v>金</v>
      </c>
      <c r="C378" s="41">
        <f>ROUNDUP((A378-'01_習慣設計'!$B$6+1)/7,0)</f>
        <v>53</v>
      </c>
      <c r="D378" s="41">
        <f>(YEAR(A378)-YEAR('01_習慣設計'!$B$6))*12+MONTH(A378)-MONTH('01_習慣設計'!$B$6)+1</f>
        <v>13</v>
      </c>
      <c r="E378" s="12"/>
      <c r="F378" s="3"/>
      <c r="G378" s="3"/>
      <c r="H378" s="41">
        <f t="shared" si="2"/>
        <v>0</v>
      </c>
    </row>
    <row r="379" ht="21.75" customHeight="1">
      <c r="A379" s="42">
        <v>46571.0</v>
      </c>
      <c r="B379" s="41" t="str">
        <f t="shared" si="1"/>
        <v>土</v>
      </c>
      <c r="C379" s="41">
        <f>ROUNDUP((A379-'01_習慣設計'!$B$6+1)/7,0)</f>
        <v>53</v>
      </c>
      <c r="D379" s="41">
        <f>(YEAR(A379)-YEAR('01_習慣設計'!$B$6))*12+MONTH(A379)-MONTH('01_習慣設計'!$B$6)+1</f>
        <v>13</v>
      </c>
      <c r="E379" s="12"/>
      <c r="F379" s="3"/>
      <c r="G379" s="3"/>
      <c r="H379" s="41">
        <f t="shared" si="2"/>
        <v>0</v>
      </c>
    </row>
    <row r="380" ht="21.75" customHeight="1">
      <c r="A380" s="42">
        <v>46572.0</v>
      </c>
      <c r="B380" s="41" t="str">
        <f t="shared" si="1"/>
        <v>日</v>
      </c>
      <c r="C380" s="41">
        <f>ROUNDUP((A380-'01_習慣設計'!$B$6+1)/7,0)</f>
        <v>53</v>
      </c>
      <c r="D380" s="41">
        <f>(YEAR(A380)-YEAR('01_習慣設計'!$B$6))*12+MONTH(A380)-MONTH('01_習慣設計'!$B$6)+1</f>
        <v>13</v>
      </c>
      <c r="E380" s="12"/>
      <c r="F380" s="3"/>
      <c r="G380" s="3"/>
      <c r="H380" s="41">
        <f t="shared" si="2"/>
        <v>0</v>
      </c>
    </row>
    <row r="381" ht="21.75" customHeight="1">
      <c r="A381" s="42">
        <v>46573.0</v>
      </c>
      <c r="B381" s="41" t="str">
        <f t="shared" si="1"/>
        <v>月</v>
      </c>
      <c r="C381" s="41">
        <f>ROUNDUP((A381-'01_習慣設計'!$B$6+1)/7,0)</f>
        <v>53</v>
      </c>
      <c r="D381" s="41">
        <f>(YEAR(A381)-YEAR('01_習慣設計'!$B$6))*12+MONTH(A381)-MONTH('01_習慣設計'!$B$6)+1</f>
        <v>13</v>
      </c>
      <c r="E381" s="12"/>
      <c r="F381" s="3"/>
      <c r="G381" s="3"/>
      <c r="H381" s="41">
        <f t="shared" si="2"/>
        <v>0</v>
      </c>
    </row>
    <row r="382" ht="21.75" customHeight="1">
      <c r="A382" s="42">
        <v>46574.0</v>
      </c>
      <c r="B382" s="41" t="str">
        <f t="shared" si="1"/>
        <v>火</v>
      </c>
      <c r="C382" s="41">
        <f>ROUNDUP((A382-'01_習慣設計'!$B$6+1)/7,0)</f>
        <v>53</v>
      </c>
      <c r="D382" s="41">
        <f>(YEAR(A382)-YEAR('01_習慣設計'!$B$6))*12+MONTH(A382)-MONTH('01_習慣設計'!$B$6)+1</f>
        <v>13</v>
      </c>
      <c r="E382" s="12"/>
      <c r="F382" s="3"/>
      <c r="G382" s="3"/>
      <c r="H382" s="41">
        <f t="shared" si="2"/>
        <v>0</v>
      </c>
    </row>
    <row r="383" ht="21.75" customHeight="1">
      <c r="A383" s="42">
        <v>46575.0</v>
      </c>
      <c r="B383" s="41" t="str">
        <f t="shared" si="1"/>
        <v>水</v>
      </c>
      <c r="C383" s="41">
        <f>ROUNDUP((A383-'01_習慣設計'!$B$6+1)/7,0)</f>
        <v>54</v>
      </c>
      <c r="D383" s="41">
        <f>(YEAR(A383)-YEAR('01_習慣設計'!$B$6))*12+MONTH(A383)-MONTH('01_習慣設計'!$B$6)+1</f>
        <v>13</v>
      </c>
      <c r="E383" s="12"/>
      <c r="F383" s="3"/>
      <c r="G383" s="3"/>
      <c r="H383" s="41">
        <f t="shared" si="2"/>
        <v>0</v>
      </c>
    </row>
    <row r="384" ht="21.75" customHeight="1">
      <c r="A384" s="42">
        <v>46576.0</v>
      </c>
      <c r="B384" s="41" t="str">
        <f t="shared" si="1"/>
        <v>木</v>
      </c>
      <c r="C384" s="41">
        <f>ROUNDUP((A384-'01_習慣設計'!$B$6+1)/7,0)</f>
        <v>54</v>
      </c>
      <c r="D384" s="41">
        <f>(YEAR(A384)-YEAR('01_習慣設計'!$B$6))*12+MONTH(A384)-MONTH('01_習慣設計'!$B$6)+1</f>
        <v>13</v>
      </c>
      <c r="E384" s="12"/>
      <c r="F384" s="3"/>
      <c r="G384" s="3"/>
      <c r="H384" s="41">
        <f t="shared" si="2"/>
        <v>0</v>
      </c>
    </row>
    <row r="385" ht="21.75" customHeight="1">
      <c r="A385" s="42">
        <v>46577.0</v>
      </c>
      <c r="B385" s="41" t="str">
        <f t="shared" si="1"/>
        <v>金</v>
      </c>
      <c r="C385" s="41">
        <f>ROUNDUP((A385-'01_習慣設計'!$B$6+1)/7,0)</f>
        <v>54</v>
      </c>
      <c r="D385" s="41">
        <f>(YEAR(A385)-YEAR('01_習慣設計'!$B$6))*12+MONTH(A385)-MONTH('01_習慣設計'!$B$6)+1</f>
        <v>13</v>
      </c>
      <c r="E385" s="12"/>
      <c r="F385" s="3"/>
      <c r="G385" s="3"/>
      <c r="H385" s="41">
        <f t="shared" si="2"/>
        <v>0</v>
      </c>
    </row>
    <row r="386" ht="21.75" customHeight="1">
      <c r="A386" s="42">
        <v>46578.0</v>
      </c>
      <c r="B386" s="41" t="str">
        <f t="shared" si="1"/>
        <v>土</v>
      </c>
      <c r="C386" s="41">
        <f>ROUNDUP((A386-'01_習慣設計'!$B$6+1)/7,0)</f>
        <v>54</v>
      </c>
      <c r="D386" s="41">
        <f>(YEAR(A386)-YEAR('01_習慣設計'!$B$6))*12+MONTH(A386)-MONTH('01_習慣設計'!$B$6)+1</f>
        <v>13</v>
      </c>
      <c r="E386" s="12"/>
      <c r="F386" s="3"/>
      <c r="G386" s="3"/>
      <c r="H386" s="41">
        <f t="shared" si="2"/>
        <v>0</v>
      </c>
    </row>
    <row r="387" ht="21.75" customHeight="1">
      <c r="A387" s="42">
        <v>46579.0</v>
      </c>
      <c r="B387" s="41" t="str">
        <f t="shared" si="1"/>
        <v>日</v>
      </c>
      <c r="C387" s="41">
        <f>ROUNDUP((A387-'01_習慣設計'!$B$6+1)/7,0)</f>
        <v>54</v>
      </c>
      <c r="D387" s="41">
        <f>(YEAR(A387)-YEAR('01_習慣設計'!$B$6))*12+MONTH(A387)-MONTH('01_習慣設計'!$B$6)+1</f>
        <v>13</v>
      </c>
      <c r="E387" s="12"/>
      <c r="F387" s="3"/>
      <c r="G387" s="3"/>
      <c r="H387" s="41">
        <f t="shared" si="2"/>
        <v>0</v>
      </c>
    </row>
    <row r="388" ht="21.75" customHeight="1">
      <c r="A388" s="42">
        <v>46580.0</v>
      </c>
      <c r="B388" s="41" t="str">
        <f t="shared" si="1"/>
        <v>月</v>
      </c>
      <c r="C388" s="41">
        <f>ROUNDUP((A388-'01_習慣設計'!$B$6+1)/7,0)</f>
        <v>54</v>
      </c>
      <c r="D388" s="41">
        <f>(YEAR(A388)-YEAR('01_習慣設計'!$B$6))*12+MONTH(A388)-MONTH('01_習慣設計'!$B$6)+1</f>
        <v>13</v>
      </c>
      <c r="E388" s="12"/>
      <c r="F388" s="3"/>
      <c r="G388" s="3"/>
      <c r="H388" s="41">
        <f t="shared" si="2"/>
        <v>0</v>
      </c>
    </row>
    <row r="389" ht="21.75" customHeight="1">
      <c r="A389" s="42">
        <v>46581.0</v>
      </c>
      <c r="B389" s="41" t="str">
        <f t="shared" si="1"/>
        <v>火</v>
      </c>
      <c r="C389" s="41">
        <f>ROUNDUP((A389-'01_習慣設計'!$B$6+1)/7,0)</f>
        <v>54</v>
      </c>
      <c r="D389" s="41">
        <f>(YEAR(A389)-YEAR('01_習慣設計'!$B$6))*12+MONTH(A389)-MONTH('01_習慣設計'!$B$6)+1</f>
        <v>13</v>
      </c>
      <c r="E389" s="12"/>
      <c r="F389" s="3"/>
      <c r="G389" s="3"/>
      <c r="H389" s="41">
        <f t="shared" si="2"/>
        <v>0</v>
      </c>
    </row>
    <row r="390" ht="21.75" customHeight="1">
      <c r="A390" s="42">
        <v>46582.0</v>
      </c>
      <c r="B390" s="41" t="str">
        <f t="shared" si="1"/>
        <v>水</v>
      </c>
      <c r="C390" s="41">
        <f>ROUNDUP((A390-'01_習慣設計'!$B$6+1)/7,0)</f>
        <v>55</v>
      </c>
      <c r="D390" s="41">
        <f>(YEAR(A390)-YEAR('01_習慣設計'!$B$6))*12+MONTH(A390)-MONTH('01_習慣設計'!$B$6)+1</f>
        <v>13</v>
      </c>
      <c r="E390" s="12"/>
      <c r="F390" s="3"/>
      <c r="G390" s="3"/>
      <c r="H390" s="41">
        <f t="shared" si="2"/>
        <v>0</v>
      </c>
    </row>
    <row r="391" ht="21.75" customHeight="1">
      <c r="A391" s="42">
        <v>46583.0</v>
      </c>
      <c r="B391" s="41" t="str">
        <f t="shared" si="1"/>
        <v>木</v>
      </c>
      <c r="C391" s="41">
        <f>ROUNDUP((A391-'01_習慣設計'!$B$6+1)/7,0)</f>
        <v>55</v>
      </c>
      <c r="D391" s="41">
        <f>(YEAR(A391)-YEAR('01_習慣設計'!$B$6))*12+MONTH(A391)-MONTH('01_習慣設計'!$B$6)+1</f>
        <v>13</v>
      </c>
      <c r="E391" s="12"/>
      <c r="F391" s="3"/>
      <c r="G391" s="3"/>
      <c r="H391" s="41">
        <f t="shared" si="2"/>
        <v>0</v>
      </c>
    </row>
    <row r="392" ht="21.75" customHeight="1">
      <c r="A392" s="42">
        <v>46584.0</v>
      </c>
      <c r="B392" s="41" t="str">
        <f t="shared" si="1"/>
        <v>金</v>
      </c>
      <c r="C392" s="41">
        <f>ROUNDUP((A392-'01_習慣設計'!$B$6+1)/7,0)</f>
        <v>55</v>
      </c>
      <c r="D392" s="41">
        <f>(YEAR(A392)-YEAR('01_習慣設計'!$B$6))*12+MONTH(A392)-MONTH('01_習慣設計'!$B$6)+1</f>
        <v>13</v>
      </c>
      <c r="E392" s="12"/>
      <c r="F392" s="3"/>
      <c r="G392" s="3"/>
      <c r="H392" s="41">
        <f t="shared" si="2"/>
        <v>0</v>
      </c>
    </row>
    <row r="393" ht="21.75" customHeight="1">
      <c r="A393" s="42">
        <v>46585.0</v>
      </c>
      <c r="B393" s="41" t="str">
        <f t="shared" si="1"/>
        <v>土</v>
      </c>
      <c r="C393" s="41">
        <f>ROUNDUP((A393-'01_習慣設計'!$B$6+1)/7,0)</f>
        <v>55</v>
      </c>
      <c r="D393" s="41">
        <f>(YEAR(A393)-YEAR('01_習慣設計'!$B$6))*12+MONTH(A393)-MONTH('01_習慣設計'!$B$6)+1</f>
        <v>13</v>
      </c>
      <c r="E393" s="12"/>
      <c r="F393" s="3"/>
      <c r="G393" s="3"/>
      <c r="H393" s="41">
        <f t="shared" si="2"/>
        <v>0</v>
      </c>
    </row>
    <row r="394" ht="21.75" customHeight="1">
      <c r="A394" s="42">
        <v>46586.0</v>
      </c>
      <c r="B394" s="41" t="str">
        <f t="shared" si="1"/>
        <v>日</v>
      </c>
      <c r="C394" s="41">
        <f>ROUNDUP((A394-'01_習慣設計'!$B$6+1)/7,0)</f>
        <v>55</v>
      </c>
      <c r="D394" s="41">
        <f>(YEAR(A394)-YEAR('01_習慣設計'!$B$6))*12+MONTH(A394)-MONTH('01_習慣設計'!$B$6)+1</f>
        <v>13</v>
      </c>
      <c r="E394" s="12"/>
      <c r="F394" s="3"/>
      <c r="G394" s="3"/>
      <c r="H394" s="41">
        <f t="shared" si="2"/>
        <v>0</v>
      </c>
    </row>
    <row r="395" ht="21.75" customHeight="1">
      <c r="A395" s="42">
        <v>46587.0</v>
      </c>
      <c r="B395" s="41" t="str">
        <f t="shared" si="1"/>
        <v>月</v>
      </c>
      <c r="C395" s="41">
        <f>ROUNDUP((A395-'01_習慣設計'!$B$6+1)/7,0)</f>
        <v>55</v>
      </c>
      <c r="D395" s="41">
        <f>(YEAR(A395)-YEAR('01_習慣設計'!$B$6))*12+MONTH(A395)-MONTH('01_習慣設計'!$B$6)+1</f>
        <v>13</v>
      </c>
      <c r="E395" s="12"/>
      <c r="F395" s="3"/>
      <c r="G395" s="3"/>
      <c r="H395" s="41">
        <f t="shared" si="2"/>
        <v>0</v>
      </c>
    </row>
    <row r="396" ht="21.75" customHeight="1">
      <c r="A396" s="42">
        <v>46588.0</v>
      </c>
      <c r="B396" s="41" t="str">
        <f t="shared" si="1"/>
        <v>火</v>
      </c>
      <c r="C396" s="41">
        <f>ROUNDUP((A396-'01_習慣設計'!$B$6+1)/7,0)</f>
        <v>55</v>
      </c>
      <c r="D396" s="41">
        <f>(YEAR(A396)-YEAR('01_習慣設計'!$B$6))*12+MONTH(A396)-MONTH('01_習慣設計'!$B$6)+1</f>
        <v>13</v>
      </c>
      <c r="E396" s="12"/>
      <c r="F396" s="3"/>
      <c r="G396" s="3"/>
      <c r="H396" s="41">
        <f t="shared" si="2"/>
        <v>0</v>
      </c>
    </row>
    <row r="397" ht="21.75" customHeight="1">
      <c r="A397" s="42">
        <v>46589.0</v>
      </c>
      <c r="B397" s="41" t="str">
        <f t="shared" si="1"/>
        <v>水</v>
      </c>
      <c r="C397" s="41">
        <f>ROUNDUP((A397-'01_習慣設計'!$B$6+1)/7,0)</f>
        <v>56</v>
      </c>
      <c r="D397" s="41">
        <f>(YEAR(A397)-YEAR('01_習慣設計'!$B$6))*12+MONTH(A397)-MONTH('01_習慣設計'!$B$6)+1</f>
        <v>13</v>
      </c>
      <c r="E397" s="12"/>
      <c r="F397" s="3"/>
      <c r="G397" s="3"/>
      <c r="H397" s="41">
        <f t="shared" si="2"/>
        <v>0</v>
      </c>
    </row>
    <row r="398" ht="21.75" customHeight="1">
      <c r="A398" s="42">
        <v>46590.0</v>
      </c>
      <c r="B398" s="41" t="str">
        <f t="shared" si="1"/>
        <v>木</v>
      </c>
      <c r="C398" s="41">
        <f>ROUNDUP((A398-'01_習慣設計'!$B$6+1)/7,0)</f>
        <v>56</v>
      </c>
      <c r="D398" s="41">
        <f>(YEAR(A398)-YEAR('01_習慣設計'!$B$6))*12+MONTH(A398)-MONTH('01_習慣設計'!$B$6)+1</f>
        <v>13</v>
      </c>
      <c r="E398" s="12"/>
      <c r="F398" s="3"/>
      <c r="G398" s="3"/>
      <c r="H398" s="41">
        <f t="shared" si="2"/>
        <v>0</v>
      </c>
    </row>
    <row r="399" ht="21.75" customHeight="1">
      <c r="A399" s="42">
        <v>46591.0</v>
      </c>
      <c r="B399" s="41" t="str">
        <f t="shared" si="1"/>
        <v>金</v>
      </c>
      <c r="C399" s="41">
        <f>ROUNDUP((A399-'01_習慣設計'!$B$6+1)/7,0)</f>
        <v>56</v>
      </c>
      <c r="D399" s="41">
        <f>(YEAR(A399)-YEAR('01_習慣設計'!$B$6))*12+MONTH(A399)-MONTH('01_習慣設計'!$B$6)+1</f>
        <v>13</v>
      </c>
      <c r="E399" s="12"/>
      <c r="F399" s="3"/>
      <c r="G399" s="3"/>
      <c r="H399" s="41">
        <f t="shared" si="2"/>
        <v>0</v>
      </c>
    </row>
    <row r="400" ht="21.75" customHeight="1">
      <c r="A400" s="42">
        <v>46592.0</v>
      </c>
      <c r="B400" s="41" t="str">
        <f t="shared" si="1"/>
        <v>土</v>
      </c>
      <c r="C400" s="41">
        <f>ROUNDUP((A400-'01_習慣設計'!$B$6+1)/7,0)</f>
        <v>56</v>
      </c>
      <c r="D400" s="41">
        <f>(YEAR(A400)-YEAR('01_習慣設計'!$B$6))*12+MONTH(A400)-MONTH('01_習慣設計'!$B$6)+1</f>
        <v>13</v>
      </c>
      <c r="E400" s="12"/>
      <c r="F400" s="3"/>
      <c r="G400" s="3"/>
      <c r="H400" s="41">
        <f t="shared" si="2"/>
        <v>0</v>
      </c>
    </row>
    <row r="401" ht="21.75" customHeight="1">
      <c r="A401" s="42">
        <v>46593.0</v>
      </c>
      <c r="B401" s="41" t="str">
        <f t="shared" si="1"/>
        <v>日</v>
      </c>
      <c r="C401" s="41">
        <f>ROUNDUP((A401-'01_習慣設計'!$B$6+1)/7,0)</f>
        <v>56</v>
      </c>
      <c r="D401" s="41">
        <f>(YEAR(A401)-YEAR('01_習慣設計'!$B$6))*12+MONTH(A401)-MONTH('01_習慣設計'!$B$6)+1</f>
        <v>13</v>
      </c>
      <c r="E401" s="12"/>
      <c r="F401" s="3"/>
      <c r="G401" s="3"/>
      <c r="H401" s="41">
        <f t="shared" si="2"/>
        <v>0</v>
      </c>
    </row>
    <row r="402" ht="21.75" customHeight="1">
      <c r="A402" s="42">
        <v>46594.0</v>
      </c>
      <c r="B402" s="41" t="str">
        <f t="shared" si="1"/>
        <v>月</v>
      </c>
      <c r="C402" s="41">
        <f>ROUNDUP((A402-'01_習慣設計'!$B$6+1)/7,0)</f>
        <v>56</v>
      </c>
      <c r="D402" s="41">
        <f>(YEAR(A402)-YEAR('01_習慣設計'!$B$6))*12+MONTH(A402)-MONTH('01_習慣設計'!$B$6)+1</f>
        <v>13</v>
      </c>
      <c r="E402" s="12"/>
      <c r="F402" s="3"/>
      <c r="G402" s="3"/>
      <c r="H402" s="41">
        <f t="shared" si="2"/>
        <v>0</v>
      </c>
    </row>
    <row r="403" ht="21.75" customHeight="1">
      <c r="A403" s="42">
        <v>46595.0</v>
      </c>
      <c r="B403" s="41" t="str">
        <f t="shared" si="1"/>
        <v>火</v>
      </c>
      <c r="C403" s="41">
        <f>ROUNDUP((A403-'01_習慣設計'!$B$6+1)/7,0)</f>
        <v>56</v>
      </c>
      <c r="D403" s="41">
        <f>(YEAR(A403)-YEAR('01_習慣設計'!$B$6))*12+MONTH(A403)-MONTH('01_習慣設計'!$B$6)+1</f>
        <v>13</v>
      </c>
      <c r="E403" s="12"/>
      <c r="F403" s="3"/>
      <c r="G403" s="3"/>
      <c r="H403" s="41">
        <f t="shared" si="2"/>
        <v>0</v>
      </c>
    </row>
    <row r="404" ht="21.75" customHeight="1">
      <c r="A404" s="42">
        <v>46596.0</v>
      </c>
      <c r="B404" s="41" t="str">
        <f t="shared" si="1"/>
        <v>水</v>
      </c>
      <c r="C404" s="41">
        <f>ROUNDUP((A404-'01_習慣設計'!$B$6+1)/7,0)</f>
        <v>57</v>
      </c>
      <c r="D404" s="41">
        <f>(YEAR(A404)-YEAR('01_習慣設計'!$B$6))*12+MONTH(A404)-MONTH('01_習慣設計'!$B$6)+1</f>
        <v>13</v>
      </c>
      <c r="E404" s="12"/>
      <c r="F404" s="3"/>
      <c r="G404" s="3"/>
      <c r="H404" s="41">
        <f t="shared" si="2"/>
        <v>0</v>
      </c>
    </row>
    <row r="405" ht="21.75" customHeight="1">
      <c r="A405" s="42">
        <v>46597.0</v>
      </c>
      <c r="B405" s="41" t="str">
        <f t="shared" si="1"/>
        <v>木</v>
      </c>
      <c r="C405" s="41">
        <f>ROUNDUP((A405-'01_習慣設計'!$B$6+1)/7,0)</f>
        <v>57</v>
      </c>
      <c r="D405" s="41">
        <f>(YEAR(A405)-YEAR('01_習慣設計'!$B$6))*12+MONTH(A405)-MONTH('01_習慣設計'!$B$6)+1</f>
        <v>13</v>
      </c>
      <c r="E405" s="12"/>
      <c r="F405" s="3"/>
      <c r="G405" s="3"/>
      <c r="H405" s="41">
        <f t="shared" si="2"/>
        <v>0</v>
      </c>
    </row>
    <row r="406" ht="21.75" customHeight="1">
      <c r="A406" s="42">
        <v>46598.0</v>
      </c>
      <c r="B406" s="41" t="str">
        <f t="shared" si="1"/>
        <v>金</v>
      </c>
      <c r="C406" s="41">
        <f>ROUNDUP((A406-'01_習慣設計'!$B$6+1)/7,0)</f>
        <v>57</v>
      </c>
      <c r="D406" s="41">
        <f>(YEAR(A406)-YEAR('01_習慣設計'!$B$6))*12+MONTH(A406)-MONTH('01_習慣設計'!$B$6)+1</f>
        <v>13</v>
      </c>
      <c r="E406" s="12"/>
      <c r="F406" s="3"/>
      <c r="G406" s="3"/>
      <c r="H406" s="41">
        <f t="shared" si="2"/>
        <v>0</v>
      </c>
    </row>
    <row r="407" ht="21.75" customHeight="1">
      <c r="A407" s="42">
        <v>46599.0</v>
      </c>
      <c r="B407" s="41" t="str">
        <f t="shared" si="1"/>
        <v>土</v>
      </c>
      <c r="C407" s="41">
        <f>ROUNDUP((A407-'01_習慣設計'!$B$6+1)/7,0)</f>
        <v>57</v>
      </c>
      <c r="D407" s="41">
        <f>(YEAR(A407)-YEAR('01_習慣設計'!$B$6))*12+MONTH(A407)-MONTH('01_習慣設計'!$B$6)+1</f>
        <v>13</v>
      </c>
      <c r="E407" s="12"/>
      <c r="F407" s="3"/>
      <c r="G407" s="3"/>
      <c r="H407" s="41">
        <f t="shared" si="2"/>
        <v>0</v>
      </c>
    </row>
    <row r="408" ht="21.75" customHeight="1">
      <c r="A408" s="42">
        <v>46600.0</v>
      </c>
      <c r="B408" s="41" t="str">
        <f t="shared" si="1"/>
        <v>日</v>
      </c>
      <c r="C408" s="41">
        <f>ROUNDUP((A408-'01_習慣設計'!$B$6+1)/7,0)</f>
        <v>57</v>
      </c>
      <c r="D408" s="41">
        <f>(YEAR(A408)-YEAR('01_習慣設計'!$B$6))*12+MONTH(A408)-MONTH('01_習慣設計'!$B$6)+1</f>
        <v>14</v>
      </c>
      <c r="E408" s="12"/>
      <c r="F408" s="3"/>
      <c r="G408" s="3"/>
      <c r="H408" s="41">
        <f t="shared" si="2"/>
        <v>0</v>
      </c>
    </row>
    <row r="409" ht="21.75" customHeight="1">
      <c r="A409" s="42">
        <v>46601.0</v>
      </c>
      <c r="B409" s="41" t="str">
        <f t="shared" si="1"/>
        <v>月</v>
      </c>
      <c r="C409" s="41">
        <f>ROUNDUP((A409-'01_習慣設計'!$B$6+1)/7,0)</f>
        <v>57</v>
      </c>
      <c r="D409" s="41">
        <f>(YEAR(A409)-YEAR('01_習慣設計'!$B$6))*12+MONTH(A409)-MONTH('01_習慣設計'!$B$6)+1</f>
        <v>14</v>
      </c>
      <c r="E409" s="12"/>
      <c r="F409" s="3"/>
      <c r="G409" s="3"/>
      <c r="H409" s="41">
        <f t="shared" si="2"/>
        <v>0</v>
      </c>
    </row>
    <row r="410" ht="21.75" customHeight="1">
      <c r="A410" s="42">
        <v>46602.0</v>
      </c>
      <c r="B410" s="41" t="str">
        <f t="shared" si="1"/>
        <v>火</v>
      </c>
      <c r="C410" s="41">
        <f>ROUNDUP((A410-'01_習慣設計'!$B$6+1)/7,0)</f>
        <v>57</v>
      </c>
      <c r="D410" s="41">
        <f>(YEAR(A410)-YEAR('01_習慣設計'!$B$6))*12+MONTH(A410)-MONTH('01_習慣設計'!$B$6)+1</f>
        <v>14</v>
      </c>
      <c r="E410" s="12"/>
      <c r="F410" s="3"/>
      <c r="G410" s="3"/>
      <c r="H410" s="41">
        <f t="shared" si="2"/>
        <v>0</v>
      </c>
    </row>
    <row r="411" ht="21.75" customHeight="1">
      <c r="A411" s="42">
        <v>46603.0</v>
      </c>
      <c r="B411" s="41" t="str">
        <f t="shared" si="1"/>
        <v>水</v>
      </c>
      <c r="C411" s="41">
        <f>ROUNDUP((A411-'01_習慣設計'!$B$6+1)/7,0)</f>
        <v>58</v>
      </c>
      <c r="D411" s="41">
        <f>(YEAR(A411)-YEAR('01_習慣設計'!$B$6))*12+MONTH(A411)-MONTH('01_習慣設計'!$B$6)+1</f>
        <v>14</v>
      </c>
      <c r="E411" s="12"/>
      <c r="F411" s="3"/>
      <c r="G411" s="3"/>
      <c r="H411" s="41">
        <f t="shared" si="2"/>
        <v>0</v>
      </c>
    </row>
    <row r="412" ht="21.75" customHeight="1">
      <c r="A412" s="42">
        <v>46604.0</v>
      </c>
      <c r="B412" s="41" t="str">
        <f t="shared" si="1"/>
        <v>木</v>
      </c>
      <c r="C412" s="41">
        <f>ROUNDUP((A412-'01_習慣設計'!$B$6+1)/7,0)</f>
        <v>58</v>
      </c>
      <c r="D412" s="41">
        <f>(YEAR(A412)-YEAR('01_習慣設計'!$B$6))*12+MONTH(A412)-MONTH('01_習慣設計'!$B$6)+1</f>
        <v>14</v>
      </c>
      <c r="E412" s="12"/>
      <c r="F412" s="3"/>
      <c r="G412" s="3"/>
      <c r="H412" s="41">
        <f t="shared" si="2"/>
        <v>0</v>
      </c>
    </row>
    <row r="413" ht="21.75" customHeight="1">
      <c r="A413" s="42">
        <v>46605.0</v>
      </c>
      <c r="B413" s="41" t="str">
        <f t="shared" si="1"/>
        <v>金</v>
      </c>
      <c r="C413" s="41">
        <f>ROUNDUP((A413-'01_習慣設計'!$B$6+1)/7,0)</f>
        <v>58</v>
      </c>
      <c r="D413" s="41">
        <f>(YEAR(A413)-YEAR('01_習慣設計'!$B$6))*12+MONTH(A413)-MONTH('01_習慣設計'!$B$6)+1</f>
        <v>14</v>
      </c>
      <c r="E413" s="12"/>
      <c r="F413" s="3"/>
      <c r="G413" s="3"/>
      <c r="H413" s="41">
        <f t="shared" si="2"/>
        <v>0</v>
      </c>
    </row>
    <row r="414" ht="21.75" customHeight="1">
      <c r="A414" s="42">
        <v>46606.0</v>
      </c>
      <c r="B414" s="41" t="str">
        <f t="shared" si="1"/>
        <v>土</v>
      </c>
      <c r="C414" s="41">
        <f>ROUNDUP((A414-'01_習慣設計'!$B$6+1)/7,0)</f>
        <v>58</v>
      </c>
      <c r="D414" s="41">
        <f>(YEAR(A414)-YEAR('01_習慣設計'!$B$6))*12+MONTH(A414)-MONTH('01_習慣設計'!$B$6)+1</f>
        <v>14</v>
      </c>
      <c r="E414" s="12"/>
      <c r="F414" s="3"/>
      <c r="G414" s="3"/>
      <c r="H414" s="41">
        <f t="shared" si="2"/>
        <v>0</v>
      </c>
    </row>
    <row r="415" ht="21.75" customHeight="1">
      <c r="A415" s="42">
        <v>46607.0</v>
      </c>
      <c r="B415" s="41" t="str">
        <f t="shared" si="1"/>
        <v>日</v>
      </c>
      <c r="C415" s="41">
        <f>ROUNDUP((A415-'01_習慣設計'!$B$6+1)/7,0)</f>
        <v>58</v>
      </c>
      <c r="D415" s="41">
        <f>(YEAR(A415)-YEAR('01_習慣設計'!$B$6))*12+MONTH(A415)-MONTH('01_習慣設計'!$B$6)+1</f>
        <v>14</v>
      </c>
      <c r="E415" s="12"/>
      <c r="F415" s="3"/>
      <c r="G415" s="3"/>
      <c r="H415" s="41">
        <f t="shared" si="2"/>
        <v>0</v>
      </c>
    </row>
    <row r="416" ht="21.75" customHeight="1">
      <c r="A416" s="42">
        <v>46608.0</v>
      </c>
      <c r="B416" s="41" t="str">
        <f t="shared" si="1"/>
        <v>月</v>
      </c>
      <c r="C416" s="41">
        <f>ROUNDUP((A416-'01_習慣設計'!$B$6+1)/7,0)</f>
        <v>58</v>
      </c>
      <c r="D416" s="41">
        <f>(YEAR(A416)-YEAR('01_習慣設計'!$B$6))*12+MONTH(A416)-MONTH('01_習慣設計'!$B$6)+1</f>
        <v>14</v>
      </c>
      <c r="E416" s="12"/>
      <c r="F416" s="3"/>
      <c r="G416" s="3"/>
      <c r="H416" s="41">
        <f t="shared" si="2"/>
        <v>0</v>
      </c>
    </row>
    <row r="417" ht="21.75" customHeight="1">
      <c r="A417" s="42">
        <v>46609.0</v>
      </c>
      <c r="B417" s="41" t="str">
        <f t="shared" si="1"/>
        <v>火</v>
      </c>
      <c r="C417" s="41">
        <f>ROUNDUP((A417-'01_習慣設計'!$B$6+1)/7,0)</f>
        <v>58</v>
      </c>
      <c r="D417" s="41">
        <f>(YEAR(A417)-YEAR('01_習慣設計'!$B$6))*12+MONTH(A417)-MONTH('01_習慣設計'!$B$6)+1</f>
        <v>14</v>
      </c>
      <c r="E417" s="12"/>
      <c r="F417" s="3"/>
      <c r="G417" s="3"/>
      <c r="H417" s="41">
        <f t="shared" si="2"/>
        <v>0</v>
      </c>
    </row>
    <row r="418" ht="21.75" customHeight="1">
      <c r="A418" s="42">
        <v>46610.0</v>
      </c>
      <c r="B418" s="41" t="str">
        <f t="shared" si="1"/>
        <v>水</v>
      </c>
      <c r="C418" s="41">
        <f>ROUNDUP((A418-'01_習慣設計'!$B$6+1)/7,0)</f>
        <v>59</v>
      </c>
      <c r="D418" s="41">
        <f>(YEAR(A418)-YEAR('01_習慣設計'!$B$6))*12+MONTH(A418)-MONTH('01_習慣設計'!$B$6)+1</f>
        <v>14</v>
      </c>
      <c r="E418" s="12"/>
      <c r="F418" s="3"/>
      <c r="G418" s="3"/>
      <c r="H418" s="41">
        <f t="shared" si="2"/>
        <v>0</v>
      </c>
    </row>
    <row r="419" ht="21.75" customHeight="1">
      <c r="A419" s="42">
        <v>46611.0</v>
      </c>
      <c r="B419" s="41" t="str">
        <f t="shared" si="1"/>
        <v>木</v>
      </c>
      <c r="C419" s="41">
        <f>ROUNDUP((A419-'01_習慣設計'!$B$6+1)/7,0)</f>
        <v>59</v>
      </c>
      <c r="D419" s="41">
        <f>(YEAR(A419)-YEAR('01_習慣設計'!$B$6))*12+MONTH(A419)-MONTH('01_習慣設計'!$B$6)+1</f>
        <v>14</v>
      </c>
      <c r="E419" s="12"/>
      <c r="F419" s="3"/>
      <c r="G419" s="3"/>
      <c r="H419" s="41">
        <f t="shared" si="2"/>
        <v>0</v>
      </c>
    </row>
    <row r="420" ht="21.75" customHeight="1">
      <c r="A420" s="42">
        <v>46612.0</v>
      </c>
      <c r="B420" s="41" t="str">
        <f t="shared" si="1"/>
        <v>金</v>
      </c>
      <c r="C420" s="41">
        <f>ROUNDUP((A420-'01_習慣設計'!$B$6+1)/7,0)</f>
        <v>59</v>
      </c>
      <c r="D420" s="41">
        <f>(YEAR(A420)-YEAR('01_習慣設計'!$B$6))*12+MONTH(A420)-MONTH('01_習慣設計'!$B$6)+1</f>
        <v>14</v>
      </c>
      <c r="E420" s="12"/>
      <c r="F420" s="3"/>
      <c r="G420" s="3"/>
      <c r="H420" s="41">
        <f t="shared" si="2"/>
        <v>0</v>
      </c>
    </row>
    <row r="421" ht="21.75" customHeight="1">
      <c r="A421" s="42">
        <v>46613.0</v>
      </c>
      <c r="B421" s="41" t="str">
        <f t="shared" si="1"/>
        <v>土</v>
      </c>
      <c r="C421" s="41">
        <f>ROUNDUP((A421-'01_習慣設計'!$B$6+1)/7,0)</f>
        <v>59</v>
      </c>
      <c r="D421" s="41">
        <f>(YEAR(A421)-YEAR('01_習慣設計'!$B$6))*12+MONTH(A421)-MONTH('01_習慣設計'!$B$6)+1</f>
        <v>14</v>
      </c>
      <c r="E421" s="12"/>
      <c r="F421" s="3"/>
      <c r="G421" s="3"/>
      <c r="H421" s="41">
        <f t="shared" si="2"/>
        <v>0</v>
      </c>
    </row>
    <row r="422" ht="21.75" customHeight="1">
      <c r="A422" s="42">
        <v>46614.0</v>
      </c>
      <c r="B422" s="41" t="str">
        <f t="shared" si="1"/>
        <v>日</v>
      </c>
      <c r="C422" s="41">
        <f>ROUNDUP((A422-'01_習慣設計'!$B$6+1)/7,0)</f>
        <v>59</v>
      </c>
      <c r="D422" s="41">
        <f>(YEAR(A422)-YEAR('01_習慣設計'!$B$6))*12+MONTH(A422)-MONTH('01_習慣設計'!$B$6)+1</f>
        <v>14</v>
      </c>
      <c r="E422" s="12"/>
      <c r="F422" s="3"/>
      <c r="G422" s="3"/>
      <c r="H422" s="41">
        <f t="shared" si="2"/>
        <v>0</v>
      </c>
    </row>
    <row r="423" ht="21.75" customHeight="1">
      <c r="A423" s="42">
        <v>46615.0</v>
      </c>
      <c r="B423" s="41" t="str">
        <f t="shared" si="1"/>
        <v>月</v>
      </c>
      <c r="C423" s="41">
        <f>ROUNDUP((A423-'01_習慣設計'!$B$6+1)/7,0)</f>
        <v>59</v>
      </c>
      <c r="D423" s="41">
        <f>(YEAR(A423)-YEAR('01_習慣設計'!$B$6))*12+MONTH(A423)-MONTH('01_習慣設計'!$B$6)+1</f>
        <v>14</v>
      </c>
      <c r="E423" s="12"/>
      <c r="F423" s="3"/>
      <c r="G423" s="3"/>
      <c r="H423" s="41">
        <f t="shared" si="2"/>
        <v>0</v>
      </c>
    </row>
    <row r="424" ht="21.75" customHeight="1">
      <c r="A424" s="42">
        <v>46616.0</v>
      </c>
      <c r="B424" s="41" t="str">
        <f t="shared" si="1"/>
        <v>火</v>
      </c>
      <c r="C424" s="41">
        <f>ROUNDUP((A424-'01_習慣設計'!$B$6+1)/7,0)</f>
        <v>59</v>
      </c>
      <c r="D424" s="41">
        <f>(YEAR(A424)-YEAR('01_習慣設計'!$B$6))*12+MONTH(A424)-MONTH('01_習慣設計'!$B$6)+1</f>
        <v>14</v>
      </c>
      <c r="E424" s="12"/>
      <c r="F424" s="3"/>
      <c r="G424" s="3"/>
      <c r="H424" s="41">
        <f t="shared" si="2"/>
        <v>0</v>
      </c>
    </row>
    <row r="425" ht="21.75" customHeight="1">
      <c r="A425" s="42">
        <v>46617.0</v>
      </c>
      <c r="B425" s="41" t="str">
        <f t="shared" si="1"/>
        <v>水</v>
      </c>
      <c r="C425" s="41">
        <f>ROUNDUP((A425-'01_習慣設計'!$B$6+1)/7,0)</f>
        <v>60</v>
      </c>
      <c r="D425" s="41">
        <f>(YEAR(A425)-YEAR('01_習慣設計'!$B$6))*12+MONTH(A425)-MONTH('01_習慣設計'!$B$6)+1</f>
        <v>14</v>
      </c>
      <c r="E425" s="12"/>
      <c r="F425" s="3"/>
      <c r="G425" s="3"/>
      <c r="H425" s="41">
        <f t="shared" si="2"/>
        <v>0</v>
      </c>
    </row>
    <row r="426" ht="21.75" customHeight="1">
      <c r="A426" s="42">
        <v>46618.0</v>
      </c>
      <c r="B426" s="41" t="str">
        <f t="shared" si="1"/>
        <v>木</v>
      </c>
      <c r="C426" s="41">
        <f>ROUNDUP((A426-'01_習慣設計'!$B$6+1)/7,0)</f>
        <v>60</v>
      </c>
      <c r="D426" s="41">
        <f>(YEAR(A426)-YEAR('01_習慣設計'!$B$6))*12+MONTH(A426)-MONTH('01_習慣設計'!$B$6)+1</f>
        <v>14</v>
      </c>
      <c r="E426" s="12"/>
      <c r="F426" s="3"/>
      <c r="G426" s="3"/>
      <c r="H426" s="41">
        <f t="shared" si="2"/>
        <v>0</v>
      </c>
    </row>
    <row r="427" ht="21.75" customHeight="1">
      <c r="A427" s="42">
        <v>46619.0</v>
      </c>
      <c r="B427" s="41" t="str">
        <f t="shared" si="1"/>
        <v>金</v>
      </c>
      <c r="C427" s="41">
        <f>ROUNDUP((A427-'01_習慣設計'!$B$6+1)/7,0)</f>
        <v>60</v>
      </c>
      <c r="D427" s="41">
        <f>(YEAR(A427)-YEAR('01_習慣設計'!$B$6))*12+MONTH(A427)-MONTH('01_習慣設計'!$B$6)+1</f>
        <v>14</v>
      </c>
      <c r="E427" s="12"/>
      <c r="F427" s="3"/>
      <c r="G427" s="3"/>
      <c r="H427" s="41">
        <f t="shared" si="2"/>
        <v>0</v>
      </c>
    </row>
    <row r="428" ht="21.75" customHeight="1">
      <c r="A428" s="42">
        <v>46620.0</v>
      </c>
      <c r="B428" s="41" t="str">
        <f t="shared" si="1"/>
        <v>土</v>
      </c>
      <c r="C428" s="41">
        <f>ROUNDUP((A428-'01_習慣設計'!$B$6+1)/7,0)</f>
        <v>60</v>
      </c>
      <c r="D428" s="41">
        <f>(YEAR(A428)-YEAR('01_習慣設計'!$B$6))*12+MONTH(A428)-MONTH('01_習慣設計'!$B$6)+1</f>
        <v>14</v>
      </c>
      <c r="E428" s="12"/>
      <c r="F428" s="3"/>
      <c r="G428" s="3"/>
      <c r="H428" s="41">
        <f t="shared" si="2"/>
        <v>0</v>
      </c>
    </row>
    <row r="429" ht="21.75" customHeight="1">
      <c r="A429" s="42">
        <v>46621.0</v>
      </c>
      <c r="B429" s="41" t="str">
        <f t="shared" si="1"/>
        <v>日</v>
      </c>
      <c r="C429" s="41">
        <f>ROUNDUP((A429-'01_習慣設計'!$B$6+1)/7,0)</f>
        <v>60</v>
      </c>
      <c r="D429" s="41">
        <f>(YEAR(A429)-YEAR('01_習慣設計'!$B$6))*12+MONTH(A429)-MONTH('01_習慣設計'!$B$6)+1</f>
        <v>14</v>
      </c>
      <c r="E429" s="12"/>
      <c r="F429" s="3"/>
      <c r="G429" s="3"/>
      <c r="H429" s="41">
        <f t="shared" si="2"/>
        <v>0</v>
      </c>
    </row>
    <row r="430" ht="21.75" customHeight="1">
      <c r="A430" s="42">
        <v>46622.0</v>
      </c>
      <c r="B430" s="41" t="str">
        <f t="shared" si="1"/>
        <v>月</v>
      </c>
      <c r="C430" s="41">
        <f>ROUNDUP((A430-'01_習慣設計'!$B$6+1)/7,0)</f>
        <v>60</v>
      </c>
      <c r="D430" s="41">
        <f>(YEAR(A430)-YEAR('01_習慣設計'!$B$6))*12+MONTH(A430)-MONTH('01_習慣設計'!$B$6)+1</f>
        <v>14</v>
      </c>
      <c r="E430" s="12"/>
      <c r="F430" s="3"/>
      <c r="G430" s="3"/>
      <c r="H430" s="41">
        <f t="shared" si="2"/>
        <v>0</v>
      </c>
    </row>
    <row r="431" ht="21.75" customHeight="1">
      <c r="A431" s="42">
        <v>46623.0</v>
      </c>
      <c r="B431" s="41" t="str">
        <f t="shared" si="1"/>
        <v>火</v>
      </c>
      <c r="C431" s="41">
        <f>ROUNDUP((A431-'01_習慣設計'!$B$6+1)/7,0)</f>
        <v>60</v>
      </c>
      <c r="D431" s="41">
        <f>(YEAR(A431)-YEAR('01_習慣設計'!$B$6))*12+MONTH(A431)-MONTH('01_習慣設計'!$B$6)+1</f>
        <v>14</v>
      </c>
      <c r="E431" s="12"/>
      <c r="F431" s="3"/>
      <c r="G431" s="3"/>
      <c r="H431" s="41">
        <f t="shared" si="2"/>
        <v>0</v>
      </c>
    </row>
    <row r="432" ht="21.75" customHeight="1">
      <c r="A432" s="42">
        <v>46624.0</v>
      </c>
      <c r="B432" s="41" t="str">
        <f t="shared" si="1"/>
        <v>水</v>
      </c>
      <c r="C432" s="41">
        <f>ROUNDUP((A432-'01_習慣設計'!$B$6+1)/7,0)</f>
        <v>61</v>
      </c>
      <c r="D432" s="41">
        <f>(YEAR(A432)-YEAR('01_習慣設計'!$B$6))*12+MONTH(A432)-MONTH('01_習慣設計'!$B$6)+1</f>
        <v>14</v>
      </c>
      <c r="E432" s="12"/>
      <c r="F432" s="3"/>
      <c r="G432" s="3"/>
      <c r="H432" s="41">
        <f t="shared" si="2"/>
        <v>0</v>
      </c>
    </row>
    <row r="433" ht="21.75" customHeight="1">
      <c r="A433" s="42">
        <v>46625.0</v>
      </c>
      <c r="B433" s="41" t="str">
        <f t="shared" si="1"/>
        <v>木</v>
      </c>
      <c r="C433" s="41">
        <f>ROUNDUP((A433-'01_習慣設計'!$B$6+1)/7,0)</f>
        <v>61</v>
      </c>
      <c r="D433" s="41">
        <f>(YEAR(A433)-YEAR('01_習慣設計'!$B$6))*12+MONTH(A433)-MONTH('01_習慣設計'!$B$6)+1</f>
        <v>14</v>
      </c>
      <c r="E433" s="12"/>
      <c r="F433" s="3"/>
      <c r="G433" s="3"/>
      <c r="H433" s="41">
        <f t="shared" si="2"/>
        <v>0</v>
      </c>
    </row>
    <row r="434" ht="21.75" customHeight="1">
      <c r="A434" s="42">
        <v>46626.0</v>
      </c>
      <c r="B434" s="41" t="str">
        <f t="shared" si="1"/>
        <v>金</v>
      </c>
      <c r="C434" s="41">
        <f>ROUNDUP((A434-'01_習慣設計'!$B$6+1)/7,0)</f>
        <v>61</v>
      </c>
      <c r="D434" s="41">
        <f>(YEAR(A434)-YEAR('01_習慣設計'!$B$6))*12+MONTH(A434)-MONTH('01_習慣設計'!$B$6)+1</f>
        <v>14</v>
      </c>
      <c r="E434" s="12"/>
      <c r="F434" s="3"/>
      <c r="G434" s="3"/>
      <c r="H434" s="41">
        <f t="shared" si="2"/>
        <v>0</v>
      </c>
    </row>
    <row r="435" ht="21.75" customHeight="1">
      <c r="A435" s="42">
        <v>46627.0</v>
      </c>
      <c r="B435" s="41" t="str">
        <f t="shared" si="1"/>
        <v>土</v>
      </c>
      <c r="C435" s="41">
        <f>ROUNDUP((A435-'01_習慣設計'!$B$6+1)/7,0)</f>
        <v>61</v>
      </c>
      <c r="D435" s="41">
        <f>(YEAR(A435)-YEAR('01_習慣設計'!$B$6))*12+MONTH(A435)-MONTH('01_習慣設計'!$B$6)+1</f>
        <v>14</v>
      </c>
      <c r="E435" s="12"/>
      <c r="F435" s="3"/>
      <c r="G435" s="3"/>
      <c r="H435" s="41">
        <f t="shared" si="2"/>
        <v>0</v>
      </c>
    </row>
    <row r="436" ht="21.75" customHeight="1">
      <c r="A436" s="42">
        <v>46628.0</v>
      </c>
      <c r="B436" s="41" t="str">
        <f t="shared" si="1"/>
        <v>日</v>
      </c>
      <c r="C436" s="41">
        <f>ROUNDUP((A436-'01_習慣設計'!$B$6+1)/7,0)</f>
        <v>61</v>
      </c>
      <c r="D436" s="41">
        <f>(YEAR(A436)-YEAR('01_習慣設計'!$B$6))*12+MONTH(A436)-MONTH('01_習慣設計'!$B$6)+1</f>
        <v>14</v>
      </c>
      <c r="E436" s="12"/>
      <c r="F436" s="3"/>
      <c r="G436" s="3"/>
      <c r="H436" s="41">
        <f t="shared" si="2"/>
        <v>0</v>
      </c>
    </row>
    <row r="437" ht="21.75" customHeight="1">
      <c r="A437" s="42">
        <v>46629.0</v>
      </c>
      <c r="B437" s="41" t="str">
        <f t="shared" si="1"/>
        <v>月</v>
      </c>
      <c r="C437" s="41">
        <f>ROUNDUP((A437-'01_習慣設計'!$B$6+1)/7,0)</f>
        <v>61</v>
      </c>
      <c r="D437" s="41">
        <f>(YEAR(A437)-YEAR('01_習慣設計'!$B$6))*12+MONTH(A437)-MONTH('01_習慣設計'!$B$6)+1</f>
        <v>14</v>
      </c>
      <c r="E437" s="12"/>
      <c r="F437" s="3"/>
      <c r="G437" s="3"/>
      <c r="H437" s="41">
        <f t="shared" si="2"/>
        <v>0</v>
      </c>
    </row>
    <row r="438" ht="21.75" customHeight="1">
      <c r="A438" s="42">
        <v>46630.0</v>
      </c>
      <c r="B438" s="41" t="str">
        <f t="shared" si="1"/>
        <v>火</v>
      </c>
      <c r="C438" s="41">
        <f>ROUNDUP((A438-'01_習慣設計'!$B$6+1)/7,0)</f>
        <v>61</v>
      </c>
      <c r="D438" s="41">
        <f>(YEAR(A438)-YEAR('01_習慣設計'!$B$6))*12+MONTH(A438)-MONTH('01_習慣設計'!$B$6)+1</f>
        <v>14</v>
      </c>
      <c r="E438" s="12"/>
      <c r="F438" s="3"/>
      <c r="G438" s="3"/>
      <c r="H438" s="41">
        <f t="shared" si="2"/>
        <v>0</v>
      </c>
    </row>
    <row r="439" ht="21.75" customHeight="1">
      <c r="A439" s="42">
        <v>46631.0</v>
      </c>
      <c r="B439" s="41" t="str">
        <f t="shared" si="1"/>
        <v>水</v>
      </c>
      <c r="C439" s="41">
        <f>ROUNDUP((A439-'01_習慣設計'!$B$6+1)/7,0)</f>
        <v>62</v>
      </c>
      <c r="D439" s="41">
        <f>(YEAR(A439)-YEAR('01_習慣設計'!$B$6))*12+MONTH(A439)-MONTH('01_習慣設計'!$B$6)+1</f>
        <v>15</v>
      </c>
      <c r="E439" s="12"/>
      <c r="F439" s="3"/>
      <c r="G439" s="3"/>
      <c r="H439" s="41">
        <f t="shared" si="2"/>
        <v>0</v>
      </c>
    </row>
    <row r="440" ht="21.75" customHeight="1">
      <c r="A440" s="42">
        <v>46632.0</v>
      </c>
      <c r="B440" s="41" t="str">
        <f t="shared" si="1"/>
        <v>木</v>
      </c>
      <c r="C440" s="41">
        <f>ROUNDUP((A440-'01_習慣設計'!$B$6+1)/7,0)</f>
        <v>62</v>
      </c>
      <c r="D440" s="41">
        <f>(YEAR(A440)-YEAR('01_習慣設計'!$B$6))*12+MONTH(A440)-MONTH('01_習慣設計'!$B$6)+1</f>
        <v>15</v>
      </c>
      <c r="E440" s="12"/>
      <c r="F440" s="3"/>
      <c r="G440" s="3"/>
      <c r="H440" s="41">
        <f t="shared" si="2"/>
        <v>0</v>
      </c>
    </row>
    <row r="441" ht="21.75" customHeight="1">
      <c r="A441" s="42">
        <v>46633.0</v>
      </c>
      <c r="B441" s="41" t="str">
        <f t="shared" si="1"/>
        <v>金</v>
      </c>
      <c r="C441" s="41">
        <f>ROUNDUP((A441-'01_習慣設計'!$B$6+1)/7,0)</f>
        <v>62</v>
      </c>
      <c r="D441" s="41">
        <f>(YEAR(A441)-YEAR('01_習慣設計'!$B$6))*12+MONTH(A441)-MONTH('01_習慣設計'!$B$6)+1</f>
        <v>15</v>
      </c>
      <c r="E441" s="12"/>
      <c r="F441" s="3"/>
      <c r="G441" s="3"/>
      <c r="H441" s="41">
        <f t="shared" si="2"/>
        <v>0</v>
      </c>
    </row>
    <row r="442" ht="21.75" customHeight="1">
      <c r="A442" s="42">
        <v>46634.0</v>
      </c>
      <c r="B442" s="41" t="str">
        <f t="shared" si="1"/>
        <v>土</v>
      </c>
      <c r="C442" s="41">
        <f>ROUNDUP((A442-'01_習慣設計'!$B$6+1)/7,0)</f>
        <v>62</v>
      </c>
      <c r="D442" s="41">
        <f>(YEAR(A442)-YEAR('01_習慣設計'!$B$6))*12+MONTH(A442)-MONTH('01_習慣設計'!$B$6)+1</f>
        <v>15</v>
      </c>
      <c r="E442" s="12"/>
      <c r="F442" s="3"/>
      <c r="G442" s="3"/>
      <c r="H442" s="41">
        <f t="shared" si="2"/>
        <v>0</v>
      </c>
    </row>
    <row r="443" ht="21.75" customHeight="1">
      <c r="A443" s="42">
        <v>46635.0</v>
      </c>
      <c r="B443" s="41" t="str">
        <f t="shared" si="1"/>
        <v>日</v>
      </c>
      <c r="C443" s="41">
        <f>ROUNDUP((A443-'01_習慣設計'!$B$6+1)/7,0)</f>
        <v>62</v>
      </c>
      <c r="D443" s="41">
        <f>(YEAR(A443)-YEAR('01_習慣設計'!$B$6))*12+MONTH(A443)-MONTH('01_習慣設計'!$B$6)+1</f>
        <v>15</v>
      </c>
      <c r="E443" s="12"/>
      <c r="F443" s="3"/>
      <c r="G443" s="3"/>
      <c r="H443" s="41">
        <f t="shared" si="2"/>
        <v>0</v>
      </c>
    </row>
    <row r="444" ht="21.75" customHeight="1">
      <c r="A444" s="42">
        <v>46636.0</v>
      </c>
      <c r="B444" s="41" t="str">
        <f t="shared" si="1"/>
        <v>月</v>
      </c>
      <c r="C444" s="41">
        <f>ROUNDUP((A444-'01_習慣設計'!$B$6+1)/7,0)</f>
        <v>62</v>
      </c>
      <c r="D444" s="41">
        <f>(YEAR(A444)-YEAR('01_習慣設計'!$B$6))*12+MONTH(A444)-MONTH('01_習慣設計'!$B$6)+1</f>
        <v>15</v>
      </c>
      <c r="E444" s="12"/>
      <c r="F444" s="3"/>
      <c r="G444" s="3"/>
      <c r="H444" s="41">
        <f t="shared" si="2"/>
        <v>0</v>
      </c>
    </row>
    <row r="445" ht="21.75" customHeight="1">
      <c r="A445" s="42">
        <v>46637.0</v>
      </c>
      <c r="B445" s="41" t="str">
        <f t="shared" si="1"/>
        <v>火</v>
      </c>
      <c r="C445" s="41">
        <f>ROUNDUP((A445-'01_習慣設計'!$B$6+1)/7,0)</f>
        <v>62</v>
      </c>
      <c r="D445" s="41">
        <f>(YEAR(A445)-YEAR('01_習慣設計'!$B$6))*12+MONTH(A445)-MONTH('01_習慣設計'!$B$6)+1</f>
        <v>15</v>
      </c>
      <c r="E445" s="12"/>
      <c r="F445" s="3"/>
      <c r="G445" s="3"/>
      <c r="H445" s="41">
        <f t="shared" si="2"/>
        <v>0</v>
      </c>
    </row>
    <row r="446" ht="21.75" customHeight="1">
      <c r="A446" s="42">
        <v>46638.0</v>
      </c>
      <c r="B446" s="41" t="str">
        <f t="shared" si="1"/>
        <v>水</v>
      </c>
      <c r="C446" s="41">
        <f>ROUNDUP((A446-'01_習慣設計'!$B$6+1)/7,0)</f>
        <v>63</v>
      </c>
      <c r="D446" s="41">
        <f>(YEAR(A446)-YEAR('01_習慣設計'!$B$6))*12+MONTH(A446)-MONTH('01_習慣設計'!$B$6)+1</f>
        <v>15</v>
      </c>
      <c r="E446" s="12"/>
      <c r="F446" s="3"/>
      <c r="G446" s="3"/>
      <c r="H446" s="41">
        <f t="shared" si="2"/>
        <v>0</v>
      </c>
    </row>
    <row r="447" ht="21.75" customHeight="1">
      <c r="A447" s="42">
        <v>46639.0</v>
      </c>
      <c r="B447" s="41" t="str">
        <f t="shared" si="1"/>
        <v>木</v>
      </c>
      <c r="C447" s="41">
        <f>ROUNDUP((A447-'01_習慣設計'!$B$6+1)/7,0)</f>
        <v>63</v>
      </c>
      <c r="D447" s="41">
        <f>(YEAR(A447)-YEAR('01_習慣設計'!$B$6))*12+MONTH(A447)-MONTH('01_習慣設計'!$B$6)+1</f>
        <v>15</v>
      </c>
      <c r="E447" s="12"/>
      <c r="F447" s="3"/>
      <c r="G447" s="3"/>
      <c r="H447" s="41">
        <f t="shared" si="2"/>
        <v>0</v>
      </c>
    </row>
    <row r="448" ht="21.75" customHeight="1">
      <c r="A448" s="42">
        <v>46640.0</v>
      </c>
      <c r="B448" s="41" t="str">
        <f t="shared" si="1"/>
        <v>金</v>
      </c>
      <c r="C448" s="41">
        <f>ROUNDUP((A448-'01_習慣設計'!$B$6+1)/7,0)</f>
        <v>63</v>
      </c>
      <c r="D448" s="41">
        <f>(YEAR(A448)-YEAR('01_習慣設計'!$B$6))*12+MONTH(A448)-MONTH('01_習慣設計'!$B$6)+1</f>
        <v>15</v>
      </c>
      <c r="E448" s="12"/>
      <c r="F448" s="3"/>
      <c r="G448" s="3"/>
      <c r="H448" s="41">
        <f t="shared" si="2"/>
        <v>0</v>
      </c>
    </row>
    <row r="449" ht="21.75" customHeight="1">
      <c r="A449" s="42">
        <v>46641.0</v>
      </c>
      <c r="B449" s="41" t="str">
        <f t="shared" si="1"/>
        <v>土</v>
      </c>
      <c r="C449" s="41">
        <f>ROUNDUP((A449-'01_習慣設計'!$B$6+1)/7,0)</f>
        <v>63</v>
      </c>
      <c r="D449" s="41">
        <f>(YEAR(A449)-YEAR('01_習慣設計'!$B$6))*12+MONTH(A449)-MONTH('01_習慣設計'!$B$6)+1</f>
        <v>15</v>
      </c>
      <c r="E449" s="12"/>
      <c r="F449" s="3"/>
      <c r="G449" s="3"/>
      <c r="H449" s="41">
        <f t="shared" si="2"/>
        <v>0</v>
      </c>
    </row>
    <row r="450" ht="21.75" customHeight="1">
      <c r="A450" s="42">
        <v>46642.0</v>
      </c>
      <c r="B450" s="41" t="str">
        <f t="shared" si="1"/>
        <v>日</v>
      </c>
      <c r="C450" s="41">
        <f>ROUNDUP((A450-'01_習慣設計'!$B$6+1)/7,0)</f>
        <v>63</v>
      </c>
      <c r="D450" s="41">
        <f>(YEAR(A450)-YEAR('01_習慣設計'!$B$6))*12+MONTH(A450)-MONTH('01_習慣設計'!$B$6)+1</f>
        <v>15</v>
      </c>
      <c r="E450" s="12"/>
      <c r="F450" s="3"/>
      <c r="G450" s="3"/>
      <c r="H450" s="41">
        <f t="shared" si="2"/>
        <v>0</v>
      </c>
    </row>
    <row r="451" ht="21.75" customHeight="1">
      <c r="A451" s="42">
        <v>46643.0</v>
      </c>
      <c r="B451" s="41" t="str">
        <f t="shared" si="1"/>
        <v>月</v>
      </c>
      <c r="C451" s="41">
        <f>ROUNDUP((A451-'01_習慣設計'!$B$6+1)/7,0)</f>
        <v>63</v>
      </c>
      <c r="D451" s="41">
        <f>(YEAR(A451)-YEAR('01_習慣設計'!$B$6))*12+MONTH(A451)-MONTH('01_習慣設計'!$B$6)+1</f>
        <v>15</v>
      </c>
      <c r="E451" s="12"/>
      <c r="F451" s="3"/>
      <c r="G451" s="3"/>
      <c r="H451" s="41">
        <f t="shared" si="2"/>
        <v>0</v>
      </c>
    </row>
    <row r="452" ht="21.75" customHeight="1">
      <c r="A452" s="42">
        <v>46644.0</v>
      </c>
      <c r="B452" s="41" t="str">
        <f t="shared" si="1"/>
        <v>火</v>
      </c>
      <c r="C452" s="41">
        <f>ROUNDUP((A452-'01_習慣設計'!$B$6+1)/7,0)</f>
        <v>63</v>
      </c>
      <c r="D452" s="41">
        <f>(YEAR(A452)-YEAR('01_習慣設計'!$B$6))*12+MONTH(A452)-MONTH('01_習慣設計'!$B$6)+1</f>
        <v>15</v>
      </c>
      <c r="E452" s="12"/>
      <c r="F452" s="3"/>
      <c r="G452" s="3"/>
      <c r="H452" s="41">
        <f t="shared" si="2"/>
        <v>0</v>
      </c>
    </row>
    <row r="453" ht="21.75" customHeight="1">
      <c r="A453" s="42">
        <v>46645.0</v>
      </c>
      <c r="B453" s="41" t="str">
        <f t="shared" si="1"/>
        <v>水</v>
      </c>
      <c r="C453" s="41">
        <f>ROUNDUP((A453-'01_習慣設計'!$B$6+1)/7,0)</f>
        <v>64</v>
      </c>
      <c r="D453" s="41">
        <f>(YEAR(A453)-YEAR('01_習慣設計'!$B$6))*12+MONTH(A453)-MONTH('01_習慣設計'!$B$6)+1</f>
        <v>15</v>
      </c>
      <c r="E453" s="12"/>
      <c r="F453" s="3"/>
      <c r="G453" s="3"/>
      <c r="H453" s="41">
        <f t="shared" si="2"/>
        <v>0</v>
      </c>
    </row>
    <row r="454" ht="21.75" customHeight="1">
      <c r="A454" s="42">
        <v>46646.0</v>
      </c>
      <c r="B454" s="41" t="str">
        <f t="shared" si="1"/>
        <v>木</v>
      </c>
      <c r="C454" s="41">
        <f>ROUNDUP((A454-'01_習慣設計'!$B$6+1)/7,0)</f>
        <v>64</v>
      </c>
      <c r="D454" s="41">
        <f>(YEAR(A454)-YEAR('01_習慣設計'!$B$6))*12+MONTH(A454)-MONTH('01_習慣設計'!$B$6)+1</f>
        <v>15</v>
      </c>
      <c r="E454" s="12"/>
      <c r="F454" s="3"/>
      <c r="G454" s="3"/>
      <c r="H454" s="41">
        <f t="shared" si="2"/>
        <v>0</v>
      </c>
    </row>
    <row r="455" ht="21.75" customHeight="1">
      <c r="A455" s="42">
        <v>46647.0</v>
      </c>
      <c r="B455" s="41" t="str">
        <f t="shared" si="1"/>
        <v>金</v>
      </c>
      <c r="C455" s="41">
        <f>ROUNDUP((A455-'01_習慣設計'!$B$6+1)/7,0)</f>
        <v>64</v>
      </c>
      <c r="D455" s="41">
        <f>(YEAR(A455)-YEAR('01_習慣設計'!$B$6))*12+MONTH(A455)-MONTH('01_習慣設計'!$B$6)+1</f>
        <v>15</v>
      </c>
      <c r="E455" s="12"/>
      <c r="F455" s="3"/>
      <c r="G455" s="3"/>
      <c r="H455" s="41">
        <f t="shared" si="2"/>
        <v>0</v>
      </c>
    </row>
    <row r="456" ht="21.75" customHeight="1">
      <c r="A456" s="42">
        <v>46648.0</v>
      </c>
      <c r="B456" s="41" t="str">
        <f t="shared" si="1"/>
        <v>土</v>
      </c>
      <c r="C456" s="41">
        <f>ROUNDUP((A456-'01_習慣設計'!$B$6+1)/7,0)</f>
        <v>64</v>
      </c>
      <c r="D456" s="41">
        <f>(YEAR(A456)-YEAR('01_習慣設計'!$B$6))*12+MONTH(A456)-MONTH('01_習慣設計'!$B$6)+1</f>
        <v>15</v>
      </c>
      <c r="E456" s="12"/>
      <c r="F456" s="3"/>
      <c r="G456" s="3"/>
      <c r="H456" s="41">
        <f t="shared" si="2"/>
        <v>0</v>
      </c>
    </row>
    <row r="457" ht="21.75" customHeight="1">
      <c r="A457" s="42">
        <v>46649.0</v>
      </c>
      <c r="B457" s="41" t="str">
        <f t="shared" si="1"/>
        <v>日</v>
      </c>
      <c r="C457" s="41">
        <f>ROUNDUP((A457-'01_習慣設計'!$B$6+1)/7,0)</f>
        <v>64</v>
      </c>
      <c r="D457" s="41">
        <f>(YEAR(A457)-YEAR('01_習慣設計'!$B$6))*12+MONTH(A457)-MONTH('01_習慣設計'!$B$6)+1</f>
        <v>15</v>
      </c>
      <c r="E457" s="12"/>
      <c r="F457" s="3"/>
      <c r="G457" s="3"/>
      <c r="H457" s="41">
        <f t="shared" si="2"/>
        <v>0</v>
      </c>
    </row>
    <row r="458" ht="21.75" customHeight="1">
      <c r="A458" s="42">
        <v>46650.0</v>
      </c>
      <c r="B458" s="41" t="str">
        <f t="shared" si="1"/>
        <v>月</v>
      </c>
      <c r="C458" s="41">
        <f>ROUNDUP((A458-'01_習慣設計'!$B$6+1)/7,0)</f>
        <v>64</v>
      </c>
      <c r="D458" s="41">
        <f>(YEAR(A458)-YEAR('01_習慣設計'!$B$6))*12+MONTH(A458)-MONTH('01_習慣設計'!$B$6)+1</f>
        <v>15</v>
      </c>
      <c r="E458" s="12"/>
      <c r="F458" s="3"/>
      <c r="G458" s="3"/>
      <c r="H458" s="41">
        <f t="shared" si="2"/>
        <v>0</v>
      </c>
    </row>
    <row r="459" ht="21.75" customHeight="1">
      <c r="A459" s="42">
        <v>46651.0</v>
      </c>
      <c r="B459" s="41" t="str">
        <f t="shared" si="1"/>
        <v>火</v>
      </c>
      <c r="C459" s="41">
        <f>ROUNDUP((A459-'01_習慣設計'!$B$6+1)/7,0)</f>
        <v>64</v>
      </c>
      <c r="D459" s="41">
        <f>(YEAR(A459)-YEAR('01_習慣設計'!$B$6))*12+MONTH(A459)-MONTH('01_習慣設計'!$B$6)+1</f>
        <v>15</v>
      </c>
      <c r="E459" s="12"/>
      <c r="F459" s="3"/>
      <c r="G459" s="3"/>
      <c r="H459" s="41">
        <f t="shared" si="2"/>
        <v>0</v>
      </c>
    </row>
    <row r="460" ht="21.75" customHeight="1">
      <c r="A460" s="42">
        <v>46652.0</v>
      </c>
      <c r="B460" s="41" t="str">
        <f t="shared" si="1"/>
        <v>水</v>
      </c>
      <c r="C460" s="41">
        <f>ROUNDUP((A460-'01_習慣設計'!$B$6+1)/7,0)</f>
        <v>65</v>
      </c>
      <c r="D460" s="41">
        <f>(YEAR(A460)-YEAR('01_習慣設計'!$B$6))*12+MONTH(A460)-MONTH('01_習慣設計'!$B$6)+1</f>
        <v>15</v>
      </c>
      <c r="E460" s="12"/>
      <c r="F460" s="3"/>
      <c r="G460" s="3"/>
      <c r="H460" s="41">
        <f t="shared" si="2"/>
        <v>0</v>
      </c>
    </row>
    <row r="461" ht="21.75" customHeight="1">
      <c r="A461" s="42">
        <v>46653.0</v>
      </c>
      <c r="B461" s="41" t="str">
        <f t="shared" si="1"/>
        <v>木</v>
      </c>
      <c r="C461" s="41">
        <f>ROUNDUP((A461-'01_習慣設計'!$B$6+1)/7,0)</f>
        <v>65</v>
      </c>
      <c r="D461" s="41">
        <f>(YEAR(A461)-YEAR('01_習慣設計'!$B$6))*12+MONTH(A461)-MONTH('01_習慣設計'!$B$6)+1</f>
        <v>15</v>
      </c>
      <c r="E461" s="12"/>
      <c r="F461" s="3"/>
      <c r="G461" s="3"/>
      <c r="H461" s="41">
        <f t="shared" si="2"/>
        <v>0</v>
      </c>
    </row>
    <row r="462" ht="21.75" customHeight="1">
      <c r="A462" s="42">
        <v>46654.0</v>
      </c>
      <c r="B462" s="41" t="str">
        <f t="shared" si="1"/>
        <v>金</v>
      </c>
      <c r="C462" s="41">
        <f>ROUNDUP((A462-'01_習慣設計'!$B$6+1)/7,0)</f>
        <v>65</v>
      </c>
      <c r="D462" s="41">
        <f>(YEAR(A462)-YEAR('01_習慣設計'!$B$6))*12+MONTH(A462)-MONTH('01_習慣設計'!$B$6)+1</f>
        <v>15</v>
      </c>
      <c r="E462" s="12"/>
      <c r="F462" s="3"/>
      <c r="G462" s="3"/>
      <c r="H462" s="41">
        <f t="shared" si="2"/>
        <v>0</v>
      </c>
    </row>
    <row r="463" ht="21.75" customHeight="1">
      <c r="A463" s="42">
        <v>46655.0</v>
      </c>
      <c r="B463" s="41" t="str">
        <f t="shared" si="1"/>
        <v>土</v>
      </c>
      <c r="C463" s="41">
        <f>ROUNDUP((A463-'01_習慣設計'!$B$6+1)/7,0)</f>
        <v>65</v>
      </c>
      <c r="D463" s="41">
        <f>(YEAR(A463)-YEAR('01_習慣設計'!$B$6))*12+MONTH(A463)-MONTH('01_習慣設計'!$B$6)+1</f>
        <v>15</v>
      </c>
      <c r="E463" s="12"/>
      <c r="F463" s="3"/>
      <c r="G463" s="3"/>
      <c r="H463" s="41">
        <f t="shared" si="2"/>
        <v>0</v>
      </c>
    </row>
    <row r="464" ht="21.75" customHeight="1">
      <c r="A464" s="42">
        <v>46656.0</v>
      </c>
      <c r="B464" s="41" t="str">
        <f t="shared" si="1"/>
        <v>日</v>
      </c>
      <c r="C464" s="41">
        <f>ROUNDUP((A464-'01_習慣設計'!$B$6+1)/7,0)</f>
        <v>65</v>
      </c>
      <c r="D464" s="41">
        <f>(YEAR(A464)-YEAR('01_習慣設計'!$B$6))*12+MONTH(A464)-MONTH('01_習慣設計'!$B$6)+1</f>
        <v>15</v>
      </c>
      <c r="E464" s="12"/>
      <c r="F464" s="3"/>
      <c r="G464" s="3"/>
      <c r="H464" s="41">
        <f t="shared" si="2"/>
        <v>0</v>
      </c>
    </row>
    <row r="465" ht="21.75" customHeight="1">
      <c r="A465" s="42">
        <v>46657.0</v>
      </c>
      <c r="B465" s="41" t="str">
        <f t="shared" si="1"/>
        <v>月</v>
      </c>
      <c r="C465" s="41">
        <f>ROUNDUP((A465-'01_習慣設計'!$B$6+1)/7,0)</f>
        <v>65</v>
      </c>
      <c r="D465" s="41">
        <f>(YEAR(A465)-YEAR('01_習慣設計'!$B$6))*12+MONTH(A465)-MONTH('01_習慣設計'!$B$6)+1</f>
        <v>15</v>
      </c>
      <c r="E465" s="12"/>
      <c r="F465" s="3"/>
      <c r="G465" s="3"/>
      <c r="H465" s="41">
        <f t="shared" si="2"/>
        <v>0</v>
      </c>
    </row>
    <row r="466" ht="21.75" customHeight="1">
      <c r="A466" s="42">
        <v>46658.0</v>
      </c>
      <c r="B466" s="41" t="str">
        <f t="shared" si="1"/>
        <v>火</v>
      </c>
      <c r="C466" s="41">
        <f>ROUNDUP((A466-'01_習慣設計'!$B$6+1)/7,0)</f>
        <v>65</v>
      </c>
      <c r="D466" s="41">
        <f>(YEAR(A466)-YEAR('01_習慣設計'!$B$6))*12+MONTH(A466)-MONTH('01_習慣設計'!$B$6)+1</f>
        <v>15</v>
      </c>
      <c r="E466" s="12"/>
      <c r="F466" s="3"/>
      <c r="G466" s="3"/>
      <c r="H466" s="41">
        <f t="shared" si="2"/>
        <v>0</v>
      </c>
    </row>
    <row r="467" ht="21.75" customHeight="1">
      <c r="A467" s="42">
        <v>46659.0</v>
      </c>
      <c r="B467" s="41" t="str">
        <f t="shared" si="1"/>
        <v>水</v>
      </c>
      <c r="C467" s="41">
        <f>ROUNDUP((A467-'01_習慣設計'!$B$6+1)/7,0)</f>
        <v>66</v>
      </c>
      <c r="D467" s="41">
        <f>(YEAR(A467)-YEAR('01_習慣設計'!$B$6))*12+MONTH(A467)-MONTH('01_習慣設計'!$B$6)+1</f>
        <v>15</v>
      </c>
      <c r="E467" s="12"/>
      <c r="F467" s="3"/>
      <c r="G467" s="3"/>
      <c r="H467" s="41">
        <f t="shared" si="2"/>
        <v>0</v>
      </c>
    </row>
    <row r="468" ht="21.75" customHeight="1">
      <c r="A468" s="42">
        <v>46660.0</v>
      </c>
      <c r="B468" s="41" t="str">
        <f t="shared" si="1"/>
        <v>木</v>
      </c>
      <c r="C468" s="41">
        <f>ROUNDUP((A468-'01_習慣設計'!$B$6+1)/7,0)</f>
        <v>66</v>
      </c>
      <c r="D468" s="41">
        <f>(YEAR(A468)-YEAR('01_習慣設計'!$B$6))*12+MONTH(A468)-MONTH('01_習慣設計'!$B$6)+1</f>
        <v>15</v>
      </c>
      <c r="E468" s="12"/>
      <c r="F468" s="3"/>
      <c r="G468" s="3"/>
      <c r="H468" s="41">
        <f t="shared" si="2"/>
        <v>0</v>
      </c>
    </row>
    <row r="469" ht="21.75" customHeight="1">
      <c r="A469" s="42">
        <v>46661.0</v>
      </c>
      <c r="B469" s="41" t="str">
        <f t="shared" si="1"/>
        <v>金</v>
      </c>
      <c r="C469" s="41">
        <f>ROUNDUP((A469-'01_習慣設計'!$B$6+1)/7,0)</f>
        <v>66</v>
      </c>
      <c r="D469" s="41">
        <f>(YEAR(A469)-YEAR('01_習慣設計'!$B$6))*12+MONTH(A469)-MONTH('01_習慣設計'!$B$6)+1</f>
        <v>16</v>
      </c>
      <c r="E469" s="12"/>
      <c r="F469" s="3"/>
      <c r="G469" s="3"/>
      <c r="H469" s="41">
        <f t="shared" si="2"/>
        <v>0</v>
      </c>
    </row>
    <row r="470" ht="21.75" customHeight="1">
      <c r="A470" s="42">
        <v>46662.0</v>
      </c>
      <c r="B470" s="41" t="str">
        <f t="shared" si="1"/>
        <v>土</v>
      </c>
      <c r="C470" s="41">
        <f>ROUNDUP((A470-'01_習慣設計'!$B$6+1)/7,0)</f>
        <v>66</v>
      </c>
      <c r="D470" s="41">
        <f>(YEAR(A470)-YEAR('01_習慣設計'!$B$6))*12+MONTH(A470)-MONTH('01_習慣設計'!$B$6)+1</f>
        <v>16</v>
      </c>
      <c r="E470" s="12"/>
      <c r="F470" s="3"/>
      <c r="G470" s="3"/>
      <c r="H470" s="41">
        <f t="shared" si="2"/>
        <v>0</v>
      </c>
    </row>
    <row r="471" ht="21.75" customHeight="1">
      <c r="A471" s="42">
        <v>46663.0</v>
      </c>
      <c r="B471" s="41" t="str">
        <f t="shared" si="1"/>
        <v>日</v>
      </c>
      <c r="C471" s="41">
        <f>ROUNDUP((A471-'01_習慣設計'!$B$6+1)/7,0)</f>
        <v>66</v>
      </c>
      <c r="D471" s="41">
        <f>(YEAR(A471)-YEAR('01_習慣設計'!$B$6))*12+MONTH(A471)-MONTH('01_習慣設計'!$B$6)+1</f>
        <v>16</v>
      </c>
      <c r="E471" s="12"/>
      <c r="F471" s="3"/>
      <c r="G471" s="3"/>
      <c r="H471" s="41">
        <f t="shared" si="2"/>
        <v>0</v>
      </c>
    </row>
    <row r="472" ht="21.75" customHeight="1">
      <c r="A472" s="42">
        <v>46664.0</v>
      </c>
      <c r="B472" s="41" t="str">
        <f t="shared" si="1"/>
        <v>月</v>
      </c>
      <c r="C472" s="41">
        <f>ROUNDUP((A472-'01_習慣設計'!$B$6+1)/7,0)</f>
        <v>66</v>
      </c>
      <c r="D472" s="41">
        <f>(YEAR(A472)-YEAR('01_習慣設計'!$B$6))*12+MONTH(A472)-MONTH('01_習慣設計'!$B$6)+1</f>
        <v>16</v>
      </c>
      <c r="E472" s="12"/>
      <c r="F472" s="3"/>
      <c r="G472" s="3"/>
      <c r="H472" s="41">
        <f t="shared" si="2"/>
        <v>0</v>
      </c>
    </row>
    <row r="473" ht="21.75" customHeight="1">
      <c r="A473" s="42">
        <v>46665.0</v>
      </c>
      <c r="B473" s="41" t="str">
        <f t="shared" si="1"/>
        <v>火</v>
      </c>
      <c r="C473" s="41">
        <f>ROUNDUP((A473-'01_習慣設計'!$B$6+1)/7,0)</f>
        <v>66</v>
      </c>
      <c r="D473" s="41">
        <f>(YEAR(A473)-YEAR('01_習慣設計'!$B$6))*12+MONTH(A473)-MONTH('01_習慣設計'!$B$6)+1</f>
        <v>16</v>
      </c>
      <c r="E473" s="12"/>
      <c r="F473" s="3"/>
      <c r="G473" s="3"/>
      <c r="H473" s="41">
        <f t="shared" si="2"/>
        <v>0</v>
      </c>
    </row>
    <row r="474" ht="21.75" customHeight="1">
      <c r="A474" s="42">
        <v>46666.0</v>
      </c>
      <c r="B474" s="41" t="str">
        <f t="shared" si="1"/>
        <v>水</v>
      </c>
      <c r="C474" s="41">
        <f>ROUNDUP((A474-'01_習慣設計'!$B$6+1)/7,0)</f>
        <v>67</v>
      </c>
      <c r="D474" s="41">
        <f>(YEAR(A474)-YEAR('01_習慣設計'!$B$6))*12+MONTH(A474)-MONTH('01_習慣設計'!$B$6)+1</f>
        <v>16</v>
      </c>
      <c r="E474" s="12"/>
      <c r="F474" s="3"/>
      <c r="G474" s="3"/>
      <c r="H474" s="41">
        <f t="shared" si="2"/>
        <v>0</v>
      </c>
    </row>
    <row r="475" ht="21.75" customHeight="1">
      <c r="A475" s="42">
        <v>46667.0</v>
      </c>
      <c r="B475" s="41" t="str">
        <f t="shared" si="1"/>
        <v>木</v>
      </c>
      <c r="C475" s="41">
        <f>ROUNDUP((A475-'01_習慣設計'!$B$6+1)/7,0)</f>
        <v>67</v>
      </c>
      <c r="D475" s="41">
        <f>(YEAR(A475)-YEAR('01_習慣設計'!$B$6))*12+MONTH(A475)-MONTH('01_習慣設計'!$B$6)+1</f>
        <v>16</v>
      </c>
      <c r="E475" s="12"/>
      <c r="F475" s="3"/>
      <c r="G475" s="3"/>
      <c r="H475" s="41">
        <f t="shared" si="2"/>
        <v>0</v>
      </c>
    </row>
    <row r="476" ht="21.75" customHeight="1">
      <c r="A476" s="42">
        <v>46668.0</v>
      </c>
      <c r="B476" s="41" t="str">
        <f t="shared" si="1"/>
        <v>金</v>
      </c>
      <c r="C476" s="41">
        <f>ROUNDUP((A476-'01_習慣設計'!$B$6+1)/7,0)</f>
        <v>67</v>
      </c>
      <c r="D476" s="41">
        <f>(YEAR(A476)-YEAR('01_習慣設計'!$B$6))*12+MONTH(A476)-MONTH('01_習慣設計'!$B$6)+1</f>
        <v>16</v>
      </c>
      <c r="E476" s="12"/>
      <c r="F476" s="3"/>
      <c r="G476" s="3"/>
      <c r="H476" s="41">
        <f t="shared" si="2"/>
        <v>0</v>
      </c>
    </row>
    <row r="477" ht="21.75" customHeight="1">
      <c r="A477" s="42">
        <v>46669.0</v>
      </c>
      <c r="B477" s="41" t="str">
        <f t="shared" si="1"/>
        <v>土</v>
      </c>
      <c r="C477" s="41">
        <f>ROUNDUP((A477-'01_習慣設計'!$B$6+1)/7,0)</f>
        <v>67</v>
      </c>
      <c r="D477" s="41">
        <f>(YEAR(A477)-YEAR('01_習慣設計'!$B$6))*12+MONTH(A477)-MONTH('01_習慣設計'!$B$6)+1</f>
        <v>16</v>
      </c>
      <c r="E477" s="12"/>
      <c r="F477" s="3"/>
      <c r="G477" s="3"/>
      <c r="H477" s="41">
        <f t="shared" si="2"/>
        <v>0</v>
      </c>
    </row>
    <row r="478" ht="21.75" customHeight="1">
      <c r="A478" s="42">
        <v>46670.0</v>
      </c>
      <c r="B478" s="41" t="str">
        <f t="shared" si="1"/>
        <v>日</v>
      </c>
      <c r="C478" s="41">
        <f>ROUNDUP((A478-'01_習慣設計'!$B$6+1)/7,0)</f>
        <v>67</v>
      </c>
      <c r="D478" s="41">
        <f>(YEAR(A478)-YEAR('01_習慣設計'!$B$6))*12+MONTH(A478)-MONTH('01_習慣設計'!$B$6)+1</f>
        <v>16</v>
      </c>
      <c r="E478" s="12"/>
      <c r="F478" s="3"/>
      <c r="G478" s="3"/>
      <c r="H478" s="41">
        <f t="shared" si="2"/>
        <v>0</v>
      </c>
    </row>
    <row r="479" ht="21.75" customHeight="1">
      <c r="A479" s="42">
        <v>46671.0</v>
      </c>
      <c r="B479" s="41" t="str">
        <f t="shared" si="1"/>
        <v>月</v>
      </c>
      <c r="C479" s="41">
        <f>ROUNDUP((A479-'01_習慣設計'!$B$6+1)/7,0)</f>
        <v>67</v>
      </c>
      <c r="D479" s="41">
        <f>(YEAR(A479)-YEAR('01_習慣設計'!$B$6))*12+MONTH(A479)-MONTH('01_習慣設計'!$B$6)+1</f>
        <v>16</v>
      </c>
      <c r="E479" s="12"/>
      <c r="F479" s="3"/>
      <c r="G479" s="3"/>
      <c r="H479" s="41">
        <f t="shared" si="2"/>
        <v>0</v>
      </c>
    </row>
    <row r="480" ht="21.75" customHeight="1">
      <c r="A480" s="42">
        <v>46672.0</v>
      </c>
      <c r="B480" s="41" t="str">
        <f t="shared" si="1"/>
        <v>火</v>
      </c>
      <c r="C480" s="41">
        <f>ROUNDUP((A480-'01_習慣設計'!$B$6+1)/7,0)</f>
        <v>67</v>
      </c>
      <c r="D480" s="41">
        <f>(YEAR(A480)-YEAR('01_習慣設計'!$B$6))*12+MONTH(A480)-MONTH('01_習慣設計'!$B$6)+1</f>
        <v>16</v>
      </c>
      <c r="E480" s="12"/>
      <c r="F480" s="3"/>
      <c r="G480" s="3"/>
      <c r="H480" s="41">
        <f t="shared" si="2"/>
        <v>0</v>
      </c>
    </row>
    <row r="481" ht="21.75" customHeight="1">
      <c r="A481" s="42">
        <v>46673.0</v>
      </c>
      <c r="B481" s="41" t="str">
        <f t="shared" si="1"/>
        <v>水</v>
      </c>
      <c r="C481" s="41">
        <f>ROUNDUP((A481-'01_習慣設計'!$B$6+1)/7,0)</f>
        <v>68</v>
      </c>
      <c r="D481" s="41">
        <f>(YEAR(A481)-YEAR('01_習慣設計'!$B$6))*12+MONTH(A481)-MONTH('01_習慣設計'!$B$6)+1</f>
        <v>16</v>
      </c>
      <c r="E481" s="12"/>
      <c r="F481" s="3"/>
      <c r="G481" s="3"/>
      <c r="H481" s="41">
        <f t="shared" si="2"/>
        <v>0</v>
      </c>
    </row>
    <row r="482" ht="21.75" customHeight="1">
      <c r="A482" s="42">
        <v>46674.0</v>
      </c>
      <c r="B482" s="41" t="str">
        <f t="shared" si="1"/>
        <v>木</v>
      </c>
      <c r="C482" s="41">
        <f>ROUNDUP((A482-'01_習慣設計'!$B$6+1)/7,0)</f>
        <v>68</v>
      </c>
      <c r="D482" s="41">
        <f>(YEAR(A482)-YEAR('01_習慣設計'!$B$6))*12+MONTH(A482)-MONTH('01_習慣設計'!$B$6)+1</f>
        <v>16</v>
      </c>
      <c r="E482" s="12"/>
      <c r="F482" s="3"/>
      <c r="G482" s="3"/>
      <c r="H482" s="41">
        <f t="shared" si="2"/>
        <v>0</v>
      </c>
    </row>
    <row r="483" ht="21.75" customHeight="1">
      <c r="A483" s="42">
        <v>46675.0</v>
      </c>
      <c r="B483" s="41" t="str">
        <f t="shared" si="1"/>
        <v>金</v>
      </c>
      <c r="C483" s="41">
        <f>ROUNDUP((A483-'01_習慣設計'!$B$6+1)/7,0)</f>
        <v>68</v>
      </c>
      <c r="D483" s="41">
        <f>(YEAR(A483)-YEAR('01_習慣設計'!$B$6))*12+MONTH(A483)-MONTH('01_習慣設計'!$B$6)+1</f>
        <v>16</v>
      </c>
      <c r="E483" s="12"/>
      <c r="F483" s="3"/>
      <c r="G483" s="3"/>
      <c r="H483" s="41">
        <f t="shared" si="2"/>
        <v>0</v>
      </c>
    </row>
    <row r="484" ht="21.75" customHeight="1">
      <c r="A484" s="42">
        <v>46676.0</v>
      </c>
      <c r="B484" s="41" t="str">
        <f t="shared" si="1"/>
        <v>土</v>
      </c>
      <c r="C484" s="41">
        <f>ROUNDUP((A484-'01_習慣設計'!$B$6+1)/7,0)</f>
        <v>68</v>
      </c>
      <c r="D484" s="41">
        <f>(YEAR(A484)-YEAR('01_習慣設計'!$B$6))*12+MONTH(A484)-MONTH('01_習慣設計'!$B$6)+1</f>
        <v>16</v>
      </c>
      <c r="E484" s="12"/>
      <c r="F484" s="3"/>
      <c r="G484" s="3"/>
      <c r="H484" s="41">
        <f t="shared" si="2"/>
        <v>0</v>
      </c>
    </row>
    <row r="485" ht="21.75" customHeight="1">
      <c r="A485" s="42">
        <v>46677.0</v>
      </c>
      <c r="B485" s="41" t="str">
        <f t="shared" si="1"/>
        <v>日</v>
      </c>
      <c r="C485" s="41">
        <f>ROUNDUP((A485-'01_習慣設計'!$B$6+1)/7,0)</f>
        <v>68</v>
      </c>
      <c r="D485" s="41">
        <f>(YEAR(A485)-YEAR('01_習慣設計'!$B$6))*12+MONTH(A485)-MONTH('01_習慣設計'!$B$6)+1</f>
        <v>16</v>
      </c>
      <c r="E485" s="12"/>
      <c r="F485" s="3"/>
      <c r="G485" s="3"/>
      <c r="H485" s="41">
        <f t="shared" si="2"/>
        <v>0</v>
      </c>
    </row>
    <row r="486" ht="21.75" customHeight="1">
      <c r="A486" s="42">
        <v>46678.0</v>
      </c>
      <c r="B486" s="41" t="str">
        <f t="shared" si="1"/>
        <v>月</v>
      </c>
      <c r="C486" s="41">
        <f>ROUNDUP((A486-'01_習慣設計'!$B$6+1)/7,0)</f>
        <v>68</v>
      </c>
      <c r="D486" s="41">
        <f>(YEAR(A486)-YEAR('01_習慣設計'!$B$6))*12+MONTH(A486)-MONTH('01_習慣設計'!$B$6)+1</f>
        <v>16</v>
      </c>
      <c r="E486" s="12"/>
      <c r="F486" s="3"/>
      <c r="G486" s="3"/>
      <c r="H486" s="41">
        <f t="shared" si="2"/>
        <v>0</v>
      </c>
    </row>
    <row r="487" ht="21.75" customHeight="1">
      <c r="A487" s="42">
        <v>46679.0</v>
      </c>
      <c r="B487" s="41" t="str">
        <f t="shared" si="1"/>
        <v>火</v>
      </c>
      <c r="C487" s="41">
        <f>ROUNDUP((A487-'01_習慣設計'!$B$6+1)/7,0)</f>
        <v>68</v>
      </c>
      <c r="D487" s="41">
        <f>(YEAR(A487)-YEAR('01_習慣設計'!$B$6))*12+MONTH(A487)-MONTH('01_習慣設計'!$B$6)+1</f>
        <v>16</v>
      </c>
      <c r="E487" s="12"/>
      <c r="F487" s="3"/>
      <c r="G487" s="3"/>
      <c r="H487" s="41">
        <f t="shared" si="2"/>
        <v>0</v>
      </c>
    </row>
    <row r="488" ht="21.75" customHeight="1">
      <c r="A488" s="42">
        <v>46680.0</v>
      </c>
      <c r="B488" s="41" t="str">
        <f t="shared" si="1"/>
        <v>水</v>
      </c>
      <c r="C488" s="41">
        <f>ROUNDUP((A488-'01_習慣設計'!$B$6+1)/7,0)</f>
        <v>69</v>
      </c>
      <c r="D488" s="41">
        <f>(YEAR(A488)-YEAR('01_習慣設計'!$B$6))*12+MONTH(A488)-MONTH('01_習慣設計'!$B$6)+1</f>
        <v>16</v>
      </c>
      <c r="E488" s="12"/>
      <c r="F488" s="3"/>
      <c r="G488" s="3"/>
      <c r="H488" s="41">
        <f t="shared" si="2"/>
        <v>0</v>
      </c>
    </row>
    <row r="489" ht="21.75" customHeight="1">
      <c r="A489" s="42">
        <v>46681.0</v>
      </c>
      <c r="B489" s="41" t="str">
        <f t="shared" si="1"/>
        <v>木</v>
      </c>
      <c r="C489" s="41">
        <f>ROUNDUP((A489-'01_習慣設計'!$B$6+1)/7,0)</f>
        <v>69</v>
      </c>
      <c r="D489" s="41">
        <f>(YEAR(A489)-YEAR('01_習慣設計'!$B$6))*12+MONTH(A489)-MONTH('01_習慣設計'!$B$6)+1</f>
        <v>16</v>
      </c>
      <c r="E489" s="12"/>
      <c r="F489" s="3"/>
      <c r="G489" s="3"/>
      <c r="H489" s="41">
        <f t="shared" si="2"/>
        <v>0</v>
      </c>
    </row>
    <row r="490" ht="21.75" customHeight="1">
      <c r="A490" s="42">
        <v>46682.0</v>
      </c>
      <c r="B490" s="41" t="str">
        <f t="shared" si="1"/>
        <v>金</v>
      </c>
      <c r="C490" s="41">
        <f>ROUNDUP((A490-'01_習慣設計'!$B$6+1)/7,0)</f>
        <v>69</v>
      </c>
      <c r="D490" s="41">
        <f>(YEAR(A490)-YEAR('01_習慣設計'!$B$6))*12+MONTH(A490)-MONTH('01_習慣設計'!$B$6)+1</f>
        <v>16</v>
      </c>
      <c r="E490" s="12"/>
      <c r="F490" s="3"/>
      <c r="G490" s="3"/>
      <c r="H490" s="41">
        <f t="shared" si="2"/>
        <v>0</v>
      </c>
    </row>
    <row r="491" ht="21.75" customHeight="1">
      <c r="A491" s="42">
        <v>46683.0</v>
      </c>
      <c r="B491" s="41" t="str">
        <f t="shared" si="1"/>
        <v>土</v>
      </c>
      <c r="C491" s="41">
        <f>ROUNDUP((A491-'01_習慣設計'!$B$6+1)/7,0)</f>
        <v>69</v>
      </c>
      <c r="D491" s="41">
        <f>(YEAR(A491)-YEAR('01_習慣設計'!$B$6))*12+MONTH(A491)-MONTH('01_習慣設計'!$B$6)+1</f>
        <v>16</v>
      </c>
      <c r="E491" s="12"/>
      <c r="F491" s="3"/>
      <c r="G491" s="3"/>
      <c r="H491" s="41">
        <f t="shared" si="2"/>
        <v>0</v>
      </c>
    </row>
    <row r="492" ht="21.75" customHeight="1">
      <c r="A492" s="42">
        <v>46684.0</v>
      </c>
      <c r="B492" s="41" t="str">
        <f t="shared" si="1"/>
        <v>日</v>
      </c>
      <c r="C492" s="41">
        <f>ROUNDUP((A492-'01_習慣設計'!$B$6+1)/7,0)</f>
        <v>69</v>
      </c>
      <c r="D492" s="41">
        <f>(YEAR(A492)-YEAR('01_習慣設計'!$B$6))*12+MONTH(A492)-MONTH('01_習慣設計'!$B$6)+1</f>
        <v>16</v>
      </c>
      <c r="E492" s="12"/>
      <c r="F492" s="3"/>
      <c r="G492" s="3"/>
      <c r="H492" s="41">
        <f t="shared" si="2"/>
        <v>0</v>
      </c>
    </row>
    <row r="493" ht="21.75" customHeight="1">
      <c r="A493" s="42">
        <v>46685.0</v>
      </c>
      <c r="B493" s="41" t="str">
        <f t="shared" si="1"/>
        <v>月</v>
      </c>
      <c r="C493" s="41">
        <f>ROUNDUP((A493-'01_習慣設計'!$B$6+1)/7,0)</f>
        <v>69</v>
      </c>
      <c r="D493" s="41">
        <f>(YEAR(A493)-YEAR('01_習慣設計'!$B$6))*12+MONTH(A493)-MONTH('01_習慣設計'!$B$6)+1</f>
        <v>16</v>
      </c>
      <c r="E493" s="12"/>
      <c r="F493" s="3"/>
      <c r="G493" s="3"/>
      <c r="H493" s="41">
        <f t="shared" si="2"/>
        <v>0</v>
      </c>
    </row>
    <row r="494" ht="21.75" customHeight="1">
      <c r="A494" s="42">
        <v>46686.0</v>
      </c>
      <c r="B494" s="41" t="str">
        <f t="shared" si="1"/>
        <v>火</v>
      </c>
      <c r="C494" s="41">
        <f>ROUNDUP((A494-'01_習慣設計'!$B$6+1)/7,0)</f>
        <v>69</v>
      </c>
      <c r="D494" s="41">
        <f>(YEAR(A494)-YEAR('01_習慣設計'!$B$6))*12+MONTH(A494)-MONTH('01_習慣設計'!$B$6)+1</f>
        <v>16</v>
      </c>
      <c r="E494" s="12"/>
      <c r="F494" s="3"/>
      <c r="G494" s="3"/>
      <c r="H494" s="41">
        <f t="shared" si="2"/>
        <v>0</v>
      </c>
    </row>
    <row r="495" ht="21.75" customHeight="1">
      <c r="A495" s="42">
        <v>46687.0</v>
      </c>
      <c r="B495" s="41" t="str">
        <f t="shared" si="1"/>
        <v>水</v>
      </c>
      <c r="C495" s="41">
        <f>ROUNDUP((A495-'01_習慣設計'!$B$6+1)/7,0)</f>
        <v>70</v>
      </c>
      <c r="D495" s="41">
        <f>(YEAR(A495)-YEAR('01_習慣設計'!$B$6))*12+MONTH(A495)-MONTH('01_習慣設計'!$B$6)+1</f>
        <v>16</v>
      </c>
      <c r="E495" s="12"/>
      <c r="F495" s="3"/>
      <c r="G495" s="3"/>
      <c r="H495" s="41">
        <f t="shared" si="2"/>
        <v>0</v>
      </c>
    </row>
    <row r="496" ht="21.75" customHeight="1">
      <c r="A496" s="42">
        <v>46688.0</v>
      </c>
      <c r="B496" s="41" t="str">
        <f t="shared" si="1"/>
        <v>木</v>
      </c>
      <c r="C496" s="41">
        <f>ROUNDUP((A496-'01_習慣設計'!$B$6+1)/7,0)</f>
        <v>70</v>
      </c>
      <c r="D496" s="41">
        <f>(YEAR(A496)-YEAR('01_習慣設計'!$B$6))*12+MONTH(A496)-MONTH('01_習慣設計'!$B$6)+1</f>
        <v>16</v>
      </c>
      <c r="E496" s="12"/>
      <c r="F496" s="3"/>
      <c r="G496" s="3"/>
      <c r="H496" s="41">
        <f t="shared" si="2"/>
        <v>0</v>
      </c>
    </row>
    <row r="497" ht="21.75" customHeight="1">
      <c r="A497" s="42">
        <v>46689.0</v>
      </c>
      <c r="B497" s="41" t="str">
        <f t="shared" si="1"/>
        <v>金</v>
      </c>
      <c r="C497" s="41">
        <f>ROUNDUP((A497-'01_習慣設計'!$B$6+1)/7,0)</f>
        <v>70</v>
      </c>
      <c r="D497" s="41">
        <f>(YEAR(A497)-YEAR('01_習慣設計'!$B$6))*12+MONTH(A497)-MONTH('01_習慣設計'!$B$6)+1</f>
        <v>16</v>
      </c>
      <c r="E497" s="12"/>
      <c r="F497" s="3"/>
      <c r="G497" s="3"/>
      <c r="H497" s="41">
        <f t="shared" si="2"/>
        <v>0</v>
      </c>
    </row>
    <row r="498" ht="21.75" customHeight="1">
      <c r="A498" s="42">
        <v>46690.0</v>
      </c>
      <c r="B498" s="41" t="str">
        <f t="shared" si="1"/>
        <v>土</v>
      </c>
      <c r="C498" s="41">
        <f>ROUNDUP((A498-'01_習慣設計'!$B$6+1)/7,0)</f>
        <v>70</v>
      </c>
      <c r="D498" s="41">
        <f>(YEAR(A498)-YEAR('01_習慣設計'!$B$6))*12+MONTH(A498)-MONTH('01_習慣設計'!$B$6)+1</f>
        <v>16</v>
      </c>
      <c r="E498" s="12"/>
      <c r="F498" s="3"/>
      <c r="G498" s="3"/>
      <c r="H498" s="41">
        <f t="shared" si="2"/>
        <v>0</v>
      </c>
    </row>
    <row r="499" ht="21.75" customHeight="1">
      <c r="A499" s="42">
        <v>46691.0</v>
      </c>
      <c r="B499" s="41" t="str">
        <f t="shared" si="1"/>
        <v>日</v>
      </c>
      <c r="C499" s="41">
        <f>ROUNDUP((A499-'01_習慣設計'!$B$6+1)/7,0)</f>
        <v>70</v>
      </c>
      <c r="D499" s="41">
        <f>(YEAR(A499)-YEAR('01_習慣設計'!$B$6))*12+MONTH(A499)-MONTH('01_習慣設計'!$B$6)+1</f>
        <v>16</v>
      </c>
      <c r="E499" s="12"/>
      <c r="F499" s="3"/>
      <c r="G499" s="3"/>
      <c r="H499" s="41">
        <f t="shared" si="2"/>
        <v>0</v>
      </c>
    </row>
    <row r="500" ht="21.75" customHeight="1">
      <c r="A500" s="42">
        <v>46692.0</v>
      </c>
      <c r="B500" s="41" t="str">
        <f t="shared" si="1"/>
        <v>月</v>
      </c>
      <c r="C500" s="41">
        <f>ROUNDUP((A500-'01_習慣設計'!$B$6+1)/7,0)</f>
        <v>70</v>
      </c>
      <c r="D500" s="41">
        <f>(YEAR(A500)-YEAR('01_習慣設計'!$B$6))*12+MONTH(A500)-MONTH('01_習慣設計'!$B$6)+1</f>
        <v>17</v>
      </c>
      <c r="E500" s="12"/>
      <c r="F500" s="3"/>
      <c r="G500" s="3"/>
      <c r="H500" s="41">
        <f t="shared" si="2"/>
        <v>0</v>
      </c>
    </row>
    <row r="501" ht="21.75" customHeight="1">
      <c r="A501" s="42">
        <v>46693.0</v>
      </c>
      <c r="B501" s="41" t="str">
        <f t="shared" si="1"/>
        <v>火</v>
      </c>
      <c r="C501" s="41">
        <f>ROUNDUP((A501-'01_習慣設計'!$B$6+1)/7,0)</f>
        <v>70</v>
      </c>
      <c r="D501" s="41">
        <f>(YEAR(A501)-YEAR('01_習慣設計'!$B$6))*12+MONTH(A501)-MONTH('01_習慣設計'!$B$6)+1</f>
        <v>17</v>
      </c>
      <c r="E501" s="12"/>
      <c r="F501" s="3"/>
      <c r="G501" s="3"/>
      <c r="H501" s="41">
        <f t="shared" si="2"/>
        <v>0</v>
      </c>
    </row>
    <row r="502" ht="21.75" customHeight="1">
      <c r="A502" s="42">
        <v>46694.0</v>
      </c>
      <c r="B502" s="41" t="str">
        <f t="shared" si="1"/>
        <v>水</v>
      </c>
      <c r="C502" s="41">
        <f>ROUNDUP((A502-'01_習慣設計'!$B$6+1)/7,0)</f>
        <v>71</v>
      </c>
      <c r="D502" s="41">
        <f>(YEAR(A502)-YEAR('01_習慣設計'!$B$6))*12+MONTH(A502)-MONTH('01_習慣設計'!$B$6)+1</f>
        <v>17</v>
      </c>
      <c r="E502" s="12"/>
      <c r="F502" s="3"/>
      <c r="G502" s="3"/>
      <c r="H502" s="41">
        <f t="shared" si="2"/>
        <v>0</v>
      </c>
    </row>
    <row r="503" ht="21.75" customHeight="1">
      <c r="A503" s="42">
        <v>46695.0</v>
      </c>
      <c r="B503" s="41" t="str">
        <f t="shared" si="1"/>
        <v>木</v>
      </c>
      <c r="C503" s="41">
        <f>ROUNDUP((A503-'01_習慣設計'!$B$6+1)/7,0)</f>
        <v>71</v>
      </c>
      <c r="D503" s="41">
        <f>(YEAR(A503)-YEAR('01_習慣設計'!$B$6))*12+MONTH(A503)-MONTH('01_習慣設計'!$B$6)+1</f>
        <v>17</v>
      </c>
      <c r="E503" s="12"/>
      <c r="F503" s="3"/>
      <c r="G503" s="3"/>
      <c r="H503" s="41">
        <f t="shared" si="2"/>
        <v>0</v>
      </c>
    </row>
    <row r="504" ht="21.75" customHeight="1">
      <c r="A504" s="42">
        <v>46696.0</v>
      </c>
      <c r="B504" s="41" t="str">
        <f t="shared" si="1"/>
        <v>金</v>
      </c>
      <c r="C504" s="41">
        <f>ROUNDUP((A504-'01_習慣設計'!$B$6+1)/7,0)</f>
        <v>71</v>
      </c>
      <c r="D504" s="41">
        <f>(YEAR(A504)-YEAR('01_習慣設計'!$B$6))*12+MONTH(A504)-MONTH('01_習慣設計'!$B$6)+1</f>
        <v>17</v>
      </c>
      <c r="E504" s="12"/>
      <c r="F504" s="3"/>
      <c r="G504" s="3"/>
      <c r="H504" s="41">
        <f t="shared" si="2"/>
        <v>0</v>
      </c>
    </row>
    <row r="505" ht="21.75" customHeight="1">
      <c r="A505" s="42">
        <v>46697.0</v>
      </c>
      <c r="B505" s="41" t="str">
        <f t="shared" si="1"/>
        <v>土</v>
      </c>
      <c r="C505" s="41">
        <f>ROUNDUP((A505-'01_習慣設計'!$B$6+1)/7,0)</f>
        <v>71</v>
      </c>
      <c r="D505" s="41">
        <f>(YEAR(A505)-YEAR('01_習慣設計'!$B$6))*12+MONTH(A505)-MONTH('01_習慣設計'!$B$6)+1</f>
        <v>17</v>
      </c>
      <c r="E505" s="12"/>
      <c r="F505" s="3"/>
      <c r="G505" s="3"/>
      <c r="H505" s="41">
        <f t="shared" si="2"/>
        <v>0</v>
      </c>
    </row>
    <row r="506" ht="21.75" customHeight="1">
      <c r="A506" s="42">
        <v>46698.0</v>
      </c>
      <c r="B506" s="41" t="str">
        <f t="shared" si="1"/>
        <v>日</v>
      </c>
      <c r="C506" s="41">
        <f>ROUNDUP((A506-'01_習慣設計'!$B$6+1)/7,0)</f>
        <v>71</v>
      </c>
      <c r="D506" s="41">
        <f>(YEAR(A506)-YEAR('01_習慣設計'!$B$6))*12+MONTH(A506)-MONTH('01_習慣設計'!$B$6)+1</f>
        <v>17</v>
      </c>
      <c r="E506" s="12"/>
      <c r="F506" s="3"/>
      <c r="G506" s="3"/>
      <c r="H506" s="41">
        <f t="shared" si="2"/>
        <v>0</v>
      </c>
    </row>
    <row r="507" ht="21.75" customHeight="1">
      <c r="A507" s="42">
        <v>46699.0</v>
      </c>
      <c r="B507" s="41" t="str">
        <f t="shared" si="1"/>
        <v>月</v>
      </c>
      <c r="C507" s="41">
        <f>ROUNDUP((A507-'01_習慣設計'!$B$6+1)/7,0)</f>
        <v>71</v>
      </c>
      <c r="D507" s="41">
        <f>(YEAR(A507)-YEAR('01_習慣設計'!$B$6))*12+MONTH(A507)-MONTH('01_習慣設計'!$B$6)+1</f>
        <v>17</v>
      </c>
      <c r="E507" s="12"/>
      <c r="F507" s="3"/>
      <c r="G507" s="3"/>
      <c r="H507" s="41">
        <f t="shared" si="2"/>
        <v>0</v>
      </c>
    </row>
    <row r="508" ht="21.75" customHeight="1">
      <c r="A508" s="42">
        <v>46700.0</v>
      </c>
      <c r="B508" s="41" t="str">
        <f t="shared" si="1"/>
        <v>火</v>
      </c>
      <c r="C508" s="41">
        <f>ROUNDUP((A508-'01_習慣設計'!$B$6+1)/7,0)</f>
        <v>71</v>
      </c>
      <c r="D508" s="41">
        <f>(YEAR(A508)-YEAR('01_習慣設計'!$B$6))*12+MONTH(A508)-MONTH('01_習慣設計'!$B$6)+1</f>
        <v>17</v>
      </c>
      <c r="E508" s="12"/>
      <c r="F508" s="3"/>
      <c r="G508" s="3"/>
      <c r="H508" s="41">
        <f t="shared" si="2"/>
        <v>0</v>
      </c>
    </row>
    <row r="509" ht="21.75" customHeight="1">
      <c r="A509" s="42">
        <v>46701.0</v>
      </c>
      <c r="B509" s="41" t="str">
        <f t="shared" si="1"/>
        <v>水</v>
      </c>
      <c r="C509" s="41">
        <f>ROUNDUP((A509-'01_習慣設計'!$B$6+1)/7,0)</f>
        <v>72</v>
      </c>
      <c r="D509" s="41">
        <f>(YEAR(A509)-YEAR('01_習慣設計'!$B$6))*12+MONTH(A509)-MONTH('01_習慣設計'!$B$6)+1</f>
        <v>17</v>
      </c>
      <c r="E509" s="12"/>
      <c r="F509" s="3"/>
      <c r="G509" s="3"/>
      <c r="H509" s="41">
        <f t="shared" si="2"/>
        <v>0</v>
      </c>
    </row>
    <row r="510" ht="21.75" customHeight="1">
      <c r="A510" s="42">
        <v>46702.0</v>
      </c>
      <c r="B510" s="41" t="str">
        <f t="shared" si="1"/>
        <v>木</v>
      </c>
      <c r="C510" s="41">
        <f>ROUNDUP((A510-'01_習慣設計'!$B$6+1)/7,0)</f>
        <v>72</v>
      </c>
      <c r="D510" s="41">
        <f>(YEAR(A510)-YEAR('01_習慣設計'!$B$6))*12+MONTH(A510)-MONTH('01_習慣設計'!$B$6)+1</f>
        <v>17</v>
      </c>
      <c r="E510" s="12"/>
      <c r="F510" s="3"/>
      <c r="G510" s="3"/>
      <c r="H510" s="41">
        <f t="shared" si="2"/>
        <v>0</v>
      </c>
    </row>
    <row r="511" ht="21.75" customHeight="1">
      <c r="A511" s="42">
        <v>46703.0</v>
      </c>
      <c r="B511" s="41" t="str">
        <f t="shared" si="1"/>
        <v>金</v>
      </c>
      <c r="C511" s="41">
        <f>ROUNDUP((A511-'01_習慣設計'!$B$6+1)/7,0)</f>
        <v>72</v>
      </c>
      <c r="D511" s="41">
        <f>(YEAR(A511)-YEAR('01_習慣設計'!$B$6))*12+MONTH(A511)-MONTH('01_習慣設計'!$B$6)+1</f>
        <v>17</v>
      </c>
      <c r="E511" s="12"/>
      <c r="F511" s="3"/>
      <c r="G511" s="3"/>
      <c r="H511" s="41">
        <f t="shared" si="2"/>
        <v>0</v>
      </c>
    </row>
    <row r="512" ht="21.75" customHeight="1">
      <c r="A512" s="42">
        <v>46704.0</v>
      </c>
      <c r="B512" s="41" t="str">
        <f t="shared" si="1"/>
        <v>土</v>
      </c>
      <c r="C512" s="41">
        <f>ROUNDUP((A512-'01_習慣設計'!$B$6+1)/7,0)</f>
        <v>72</v>
      </c>
      <c r="D512" s="41">
        <f>(YEAR(A512)-YEAR('01_習慣設計'!$B$6))*12+MONTH(A512)-MONTH('01_習慣設計'!$B$6)+1</f>
        <v>17</v>
      </c>
      <c r="E512" s="12"/>
      <c r="F512" s="3"/>
      <c r="G512" s="3"/>
      <c r="H512" s="41">
        <f t="shared" si="2"/>
        <v>0</v>
      </c>
    </row>
    <row r="513" ht="21.75" customHeight="1">
      <c r="A513" s="42">
        <v>46705.0</v>
      </c>
      <c r="B513" s="41" t="str">
        <f t="shared" si="1"/>
        <v>日</v>
      </c>
      <c r="C513" s="41">
        <f>ROUNDUP((A513-'01_習慣設計'!$B$6+1)/7,0)</f>
        <v>72</v>
      </c>
      <c r="D513" s="41">
        <f>(YEAR(A513)-YEAR('01_習慣設計'!$B$6))*12+MONTH(A513)-MONTH('01_習慣設計'!$B$6)+1</f>
        <v>17</v>
      </c>
      <c r="E513" s="12"/>
      <c r="F513" s="3"/>
      <c r="G513" s="3"/>
      <c r="H513" s="41">
        <f t="shared" si="2"/>
        <v>0</v>
      </c>
    </row>
    <row r="514" ht="21.75" customHeight="1">
      <c r="A514" s="42">
        <v>46706.0</v>
      </c>
      <c r="B514" s="41" t="str">
        <f t="shared" si="1"/>
        <v>月</v>
      </c>
      <c r="C514" s="41">
        <f>ROUNDUP((A514-'01_習慣設計'!$B$6+1)/7,0)</f>
        <v>72</v>
      </c>
      <c r="D514" s="41">
        <f>(YEAR(A514)-YEAR('01_習慣設計'!$B$6))*12+MONTH(A514)-MONTH('01_習慣設計'!$B$6)+1</f>
        <v>17</v>
      </c>
      <c r="E514" s="12"/>
      <c r="F514" s="3"/>
      <c r="G514" s="3"/>
      <c r="H514" s="41">
        <f t="shared" si="2"/>
        <v>0</v>
      </c>
    </row>
    <row r="515" ht="21.75" customHeight="1">
      <c r="A515" s="42">
        <v>46707.0</v>
      </c>
      <c r="B515" s="41" t="str">
        <f t="shared" si="1"/>
        <v>火</v>
      </c>
      <c r="C515" s="41">
        <f>ROUNDUP((A515-'01_習慣設計'!$B$6+1)/7,0)</f>
        <v>72</v>
      </c>
      <c r="D515" s="41">
        <f>(YEAR(A515)-YEAR('01_習慣設計'!$B$6))*12+MONTH(A515)-MONTH('01_習慣設計'!$B$6)+1</f>
        <v>17</v>
      </c>
      <c r="E515" s="12"/>
      <c r="F515" s="3"/>
      <c r="G515" s="3"/>
      <c r="H515" s="41">
        <f t="shared" si="2"/>
        <v>0</v>
      </c>
    </row>
    <row r="516" ht="21.75" customHeight="1">
      <c r="A516" s="42">
        <v>46708.0</v>
      </c>
      <c r="B516" s="41" t="str">
        <f t="shared" si="1"/>
        <v>水</v>
      </c>
      <c r="C516" s="41">
        <f>ROUNDUP((A516-'01_習慣設計'!$B$6+1)/7,0)</f>
        <v>73</v>
      </c>
      <c r="D516" s="41">
        <f>(YEAR(A516)-YEAR('01_習慣設計'!$B$6))*12+MONTH(A516)-MONTH('01_習慣設計'!$B$6)+1</f>
        <v>17</v>
      </c>
      <c r="E516" s="12"/>
      <c r="F516" s="3"/>
      <c r="G516" s="3"/>
      <c r="H516" s="41">
        <f t="shared" si="2"/>
        <v>0</v>
      </c>
    </row>
    <row r="517" ht="21.75" customHeight="1">
      <c r="A517" s="42">
        <v>46709.0</v>
      </c>
      <c r="B517" s="41" t="str">
        <f t="shared" si="1"/>
        <v>木</v>
      </c>
      <c r="C517" s="41">
        <f>ROUNDUP((A517-'01_習慣設計'!$B$6+1)/7,0)</f>
        <v>73</v>
      </c>
      <c r="D517" s="41">
        <f>(YEAR(A517)-YEAR('01_習慣設計'!$B$6))*12+MONTH(A517)-MONTH('01_習慣設計'!$B$6)+1</f>
        <v>17</v>
      </c>
      <c r="E517" s="12"/>
      <c r="F517" s="3"/>
      <c r="G517" s="3"/>
      <c r="H517" s="41">
        <f t="shared" si="2"/>
        <v>0</v>
      </c>
    </row>
    <row r="518" ht="21.75" customHeight="1">
      <c r="A518" s="42">
        <v>46710.0</v>
      </c>
      <c r="B518" s="41" t="str">
        <f t="shared" si="1"/>
        <v>金</v>
      </c>
      <c r="C518" s="41">
        <f>ROUNDUP((A518-'01_習慣設計'!$B$6+1)/7,0)</f>
        <v>73</v>
      </c>
      <c r="D518" s="41">
        <f>(YEAR(A518)-YEAR('01_習慣設計'!$B$6))*12+MONTH(A518)-MONTH('01_習慣設計'!$B$6)+1</f>
        <v>17</v>
      </c>
      <c r="E518" s="12"/>
      <c r="F518" s="3"/>
      <c r="G518" s="3"/>
      <c r="H518" s="41">
        <f t="shared" si="2"/>
        <v>0</v>
      </c>
    </row>
    <row r="519" ht="21.75" customHeight="1">
      <c r="A519" s="42">
        <v>46711.0</v>
      </c>
      <c r="B519" s="41" t="str">
        <f t="shared" si="1"/>
        <v>土</v>
      </c>
      <c r="C519" s="41">
        <f>ROUNDUP((A519-'01_習慣設計'!$B$6+1)/7,0)</f>
        <v>73</v>
      </c>
      <c r="D519" s="41">
        <f>(YEAR(A519)-YEAR('01_習慣設計'!$B$6))*12+MONTH(A519)-MONTH('01_習慣設計'!$B$6)+1</f>
        <v>17</v>
      </c>
      <c r="E519" s="12"/>
      <c r="F519" s="3"/>
      <c r="G519" s="3"/>
      <c r="H519" s="41">
        <f t="shared" si="2"/>
        <v>0</v>
      </c>
    </row>
    <row r="520" ht="21.75" customHeight="1">
      <c r="A520" s="42">
        <v>46712.0</v>
      </c>
      <c r="B520" s="41" t="str">
        <f t="shared" si="1"/>
        <v>日</v>
      </c>
      <c r="C520" s="41">
        <f>ROUNDUP((A520-'01_習慣設計'!$B$6+1)/7,0)</f>
        <v>73</v>
      </c>
      <c r="D520" s="41">
        <f>(YEAR(A520)-YEAR('01_習慣設計'!$B$6))*12+MONTH(A520)-MONTH('01_習慣設計'!$B$6)+1</f>
        <v>17</v>
      </c>
      <c r="E520" s="12"/>
      <c r="F520" s="3"/>
      <c r="G520" s="3"/>
      <c r="H520" s="41">
        <f t="shared" si="2"/>
        <v>0</v>
      </c>
    </row>
    <row r="521" ht="21.75" customHeight="1">
      <c r="A521" s="42">
        <v>46713.0</v>
      </c>
      <c r="B521" s="41" t="str">
        <f t="shared" si="1"/>
        <v>月</v>
      </c>
      <c r="C521" s="41">
        <f>ROUNDUP((A521-'01_習慣設計'!$B$6+1)/7,0)</f>
        <v>73</v>
      </c>
      <c r="D521" s="41">
        <f>(YEAR(A521)-YEAR('01_習慣設計'!$B$6))*12+MONTH(A521)-MONTH('01_習慣設計'!$B$6)+1</f>
        <v>17</v>
      </c>
      <c r="E521" s="12"/>
      <c r="F521" s="3"/>
      <c r="G521" s="3"/>
      <c r="H521" s="41">
        <f t="shared" si="2"/>
        <v>0</v>
      </c>
    </row>
    <row r="522" ht="21.75" customHeight="1">
      <c r="A522" s="42">
        <v>46714.0</v>
      </c>
      <c r="B522" s="41" t="str">
        <f t="shared" si="1"/>
        <v>火</v>
      </c>
      <c r="C522" s="41">
        <f>ROUNDUP((A522-'01_習慣設計'!$B$6+1)/7,0)</f>
        <v>73</v>
      </c>
      <c r="D522" s="41">
        <f>(YEAR(A522)-YEAR('01_習慣設計'!$B$6))*12+MONTH(A522)-MONTH('01_習慣設計'!$B$6)+1</f>
        <v>17</v>
      </c>
      <c r="E522" s="12"/>
      <c r="F522" s="3"/>
      <c r="G522" s="3"/>
      <c r="H522" s="41">
        <f t="shared" si="2"/>
        <v>0</v>
      </c>
    </row>
    <row r="523" ht="21.75" customHeight="1">
      <c r="A523" s="42">
        <v>46715.0</v>
      </c>
      <c r="B523" s="41" t="str">
        <f t="shared" si="1"/>
        <v>水</v>
      </c>
      <c r="C523" s="41">
        <f>ROUNDUP((A523-'01_習慣設計'!$B$6+1)/7,0)</f>
        <v>74</v>
      </c>
      <c r="D523" s="41">
        <f>(YEAR(A523)-YEAR('01_習慣設計'!$B$6))*12+MONTH(A523)-MONTH('01_習慣設計'!$B$6)+1</f>
        <v>17</v>
      </c>
      <c r="E523" s="12"/>
      <c r="F523" s="3"/>
      <c r="G523" s="3"/>
      <c r="H523" s="41">
        <f t="shared" si="2"/>
        <v>0</v>
      </c>
    </row>
    <row r="524" ht="21.75" customHeight="1">
      <c r="A524" s="42">
        <v>46716.0</v>
      </c>
      <c r="B524" s="41" t="str">
        <f t="shared" si="1"/>
        <v>木</v>
      </c>
      <c r="C524" s="41">
        <f>ROUNDUP((A524-'01_習慣設計'!$B$6+1)/7,0)</f>
        <v>74</v>
      </c>
      <c r="D524" s="41">
        <f>(YEAR(A524)-YEAR('01_習慣設計'!$B$6))*12+MONTH(A524)-MONTH('01_習慣設計'!$B$6)+1</f>
        <v>17</v>
      </c>
      <c r="E524" s="12"/>
      <c r="F524" s="3"/>
      <c r="G524" s="3"/>
      <c r="H524" s="41">
        <f t="shared" si="2"/>
        <v>0</v>
      </c>
    </row>
    <row r="525" ht="21.75" customHeight="1">
      <c r="A525" s="42">
        <v>46717.0</v>
      </c>
      <c r="B525" s="41" t="str">
        <f t="shared" si="1"/>
        <v>金</v>
      </c>
      <c r="C525" s="41">
        <f>ROUNDUP((A525-'01_習慣設計'!$B$6+1)/7,0)</f>
        <v>74</v>
      </c>
      <c r="D525" s="41">
        <f>(YEAR(A525)-YEAR('01_習慣設計'!$B$6))*12+MONTH(A525)-MONTH('01_習慣設計'!$B$6)+1</f>
        <v>17</v>
      </c>
      <c r="E525" s="12"/>
      <c r="F525" s="3"/>
      <c r="G525" s="3"/>
      <c r="H525" s="41">
        <f t="shared" si="2"/>
        <v>0</v>
      </c>
    </row>
    <row r="526" ht="21.75" customHeight="1">
      <c r="A526" s="42">
        <v>46718.0</v>
      </c>
      <c r="B526" s="41" t="str">
        <f t="shared" si="1"/>
        <v>土</v>
      </c>
      <c r="C526" s="41">
        <f>ROUNDUP((A526-'01_習慣設計'!$B$6+1)/7,0)</f>
        <v>74</v>
      </c>
      <c r="D526" s="41">
        <f>(YEAR(A526)-YEAR('01_習慣設計'!$B$6))*12+MONTH(A526)-MONTH('01_習慣設計'!$B$6)+1</f>
        <v>17</v>
      </c>
      <c r="E526" s="12"/>
      <c r="F526" s="3"/>
      <c r="G526" s="3"/>
      <c r="H526" s="41">
        <f t="shared" si="2"/>
        <v>0</v>
      </c>
    </row>
    <row r="527" ht="21.75" customHeight="1">
      <c r="A527" s="42">
        <v>46719.0</v>
      </c>
      <c r="B527" s="41" t="str">
        <f t="shared" si="1"/>
        <v>日</v>
      </c>
      <c r="C527" s="41">
        <f>ROUNDUP((A527-'01_習慣設計'!$B$6+1)/7,0)</f>
        <v>74</v>
      </c>
      <c r="D527" s="41">
        <f>(YEAR(A527)-YEAR('01_習慣設計'!$B$6))*12+MONTH(A527)-MONTH('01_習慣設計'!$B$6)+1</f>
        <v>17</v>
      </c>
      <c r="E527" s="12"/>
      <c r="F527" s="3"/>
      <c r="G527" s="3"/>
      <c r="H527" s="41">
        <f t="shared" si="2"/>
        <v>0</v>
      </c>
    </row>
    <row r="528" ht="21.75" customHeight="1">
      <c r="A528" s="42">
        <v>46720.0</v>
      </c>
      <c r="B528" s="41" t="str">
        <f t="shared" si="1"/>
        <v>月</v>
      </c>
      <c r="C528" s="41">
        <f>ROUNDUP((A528-'01_習慣設計'!$B$6+1)/7,0)</f>
        <v>74</v>
      </c>
      <c r="D528" s="41">
        <f>(YEAR(A528)-YEAR('01_習慣設計'!$B$6))*12+MONTH(A528)-MONTH('01_習慣設計'!$B$6)+1</f>
        <v>17</v>
      </c>
      <c r="E528" s="12"/>
      <c r="F528" s="3"/>
      <c r="G528" s="3"/>
      <c r="H528" s="41">
        <f t="shared" si="2"/>
        <v>0</v>
      </c>
    </row>
    <row r="529" ht="21.75" customHeight="1">
      <c r="A529" s="42">
        <v>46721.0</v>
      </c>
      <c r="B529" s="41" t="str">
        <f t="shared" si="1"/>
        <v>火</v>
      </c>
      <c r="C529" s="41">
        <f>ROUNDUP((A529-'01_習慣設計'!$B$6+1)/7,0)</f>
        <v>74</v>
      </c>
      <c r="D529" s="41">
        <f>(YEAR(A529)-YEAR('01_習慣設計'!$B$6))*12+MONTH(A529)-MONTH('01_習慣設計'!$B$6)+1</f>
        <v>17</v>
      </c>
      <c r="E529" s="12"/>
      <c r="F529" s="3"/>
      <c r="G529" s="3"/>
      <c r="H529" s="41">
        <f t="shared" si="2"/>
        <v>0</v>
      </c>
    </row>
    <row r="530" ht="21.75" customHeight="1">
      <c r="A530" s="42">
        <v>46722.0</v>
      </c>
      <c r="B530" s="41" t="str">
        <f t="shared" si="1"/>
        <v>水</v>
      </c>
      <c r="C530" s="41">
        <f>ROUNDUP((A530-'01_習慣設計'!$B$6+1)/7,0)</f>
        <v>75</v>
      </c>
      <c r="D530" s="41">
        <f>(YEAR(A530)-YEAR('01_習慣設計'!$B$6))*12+MONTH(A530)-MONTH('01_習慣設計'!$B$6)+1</f>
        <v>18</v>
      </c>
      <c r="E530" s="12"/>
      <c r="F530" s="3"/>
      <c r="G530" s="3"/>
      <c r="H530" s="41">
        <f t="shared" si="2"/>
        <v>0</v>
      </c>
    </row>
    <row r="531" ht="21.75" customHeight="1">
      <c r="A531" s="42">
        <v>46723.0</v>
      </c>
      <c r="B531" s="41" t="str">
        <f t="shared" si="1"/>
        <v>木</v>
      </c>
      <c r="C531" s="41">
        <f>ROUNDUP((A531-'01_習慣設計'!$B$6+1)/7,0)</f>
        <v>75</v>
      </c>
      <c r="D531" s="41">
        <f>(YEAR(A531)-YEAR('01_習慣設計'!$B$6))*12+MONTH(A531)-MONTH('01_習慣設計'!$B$6)+1</f>
        <v>18</v>
      </c>
      <c r="E531" s="12"/>
      <c r="F531" s="3"/>
      <c r="G531" s="3"/>
      <c r="H531" s="41">
        <f t="shared" si="2"/>
        <v>0</v>
      </c>
    </row>
    <row r="532" ht="21.75" customHeight="1">
      <c r="A532" s="42">
        <v>46724.0</v>
      </c>
      <c r="B532" s="41" t="str">
        <f t="shared" si="1"/>
        <v>金</v>
      </c>
      <c r="C532" s="41">
        <f>ROUNDUP((A532-'01_習慣設計'!$B$6+1)/7,0)</f>
        <v>75</v>
      </c>
      <c r="D532" s="41">
        <f>(YEAR(A532)-YEAR('01_習慣設計'!$B$6))*12+MONTH(A532)-MONTH('01_習慣設計'!$B$6)+1</f>
        <v>18</v>
      </c>
      <c r="E532" s="12"/>
      <c r="F532" s="3"/>
      <c r="G532" s="3"/>
      <c r="H532" s="41">
        <f t="shared" si="2"/>
        <v>0</v>
      </c>
    </row>
    <row r="533" ht="21.75" customHeight="1">
      <c r="A533" s="42">
        <v>46725.0</v>
      </c>
      <c r="B533" s="41" t="str">
        <f t="shared" si="1"/>
        <v>土</v>
      </c>
      <c r="C533" s="41">
        <f>ROUNDUP((A533-'01_習慣設計'!$B$6+1)/7,0)</f>
        <v>75</v>
      </c>
      <c r="D533" s="41">
        <f>(YEAR(A533)-YEAR('01_習慣設計'!$B$6))*12+MONTH(A533)-MONTH('01_習慣設計'!$B$6)+1</f>
        <v>18</v>
      </c>
      <c r="E533" s="12"/>
      <c r="F533" s="3"/>
      <c r="G533" s="3"/>
      <c r="H533" s="41">
        <f t="shared" si="2"/>
        <v>0</v>
      </c>
    </row>
    <row r="534" ht="21.75" customHeight="1">
      <c r="A534" s="42">
        <v>46726.0</v>
      </c>
      <c r="B534" s="41" t="str">
        <f t="shared" si="1"/>
        <v>日</v>
      </c>
      <c r="C534" s="41">
        <f>ROUNDUP((A534-'01_習慣設計'!$B$6+1)/7,0)</f>
        <v>75</v>
      </c>
      <c r="D534" s="41">
        <f>(YEAR(A534)-YEAR('01_習慣設計'!$B$6))*12+MONTH(A534)-MONTH('01_習慣設計'!$B$6)+1</f>
        <v>18</v>
      </c>
      <c r="E534" s="12"/>
      <c r="F534" s="3"/>
      <c r="G534" s="3"/>
      <c r="H534" s="41">
        <f t="shared" si="2"/>
        <v>0</v>
      </c>
    </row>
    <row r="535" ht="21.75" customHeight="1">
      <c r="A535" s="42">
        <v>46727.0</v>
      </c>
      <c r="B535" s="41" t="str">
        <f t="shared" si="1"/>
        <v>月</v>
      </c>
      <c r="C535" s="41">
        <f>ROUNDUP((A535-'01_習慣設計'!$B$6+1)/7,0)</f>
        <v>75</v>
      </c>
      <c r="D535" s="41">
        <f>(YEAR(A535)-YEAR('01_習慣設計'!$B$6))*12+MONTH(A535)-MONTH('01_習慣設計'!$B$6)+1</f>
        <v>18</v>
      </c>
      <c r="E535" s="12"/>
      <c r="F535" s="3"/>
      <c r="G535" s="3"/>
      <c r="H535" s="41">
        <f t="shared" si="2"/>
        <v>0</v>
      </c>
    </row>
    <row r="536" ht="21.75" customHeight="1">
      <c r="A536" s="42">
        <v>46728.0</v>
      </c>
      <c r="B536" s="41" t="str">
        <f t="shared" si="1"/>
        <v>火</v>
      </c>
      <c r="C536" s="41">
        <f>ROUNDUP((A536-'01_習慣設計'!$B$6+1)/7,0)</f>
        <v>75</v>
      </c>
      <c r="D536" s="41">
        <f>(YEAR(A536)-YEAR('01_習慣設計'!$B$6))*12+MONTH(A536)-MONTH('01_習慣設計'!$B$6)+1</f>
        <v>18</v>
      </c>
      <c r="E536" s="12"/>
      <c r="F536" s="3"/>
      <c r="G536" s="3"/>
      <c r="H536" s="41">
        <f t="shared" si="2"/>
        <v>0</v>
      </c>
    </row>
    <row r="537" ht="21.75" customHeight="1">
      <c r="A537" s="42">
        <v>46729.0</v>
      </c>
      <c r="B537" s="41" t="str">
        <f t="shared" si="1"/>
        <v>水</v>
      </c>
      <c r="C537" s="41">
        <f>ROUNDUP((A537-'01_習慣設計'!$B$6+1)/7,0)</f>
        <v>76</v>
      </c>
      <c r="D537" s="41">
        <f>(YEAR(A537)-YEAR('01_習慣設計'!$B$6))*12+MONTH(A537)-MONTH('01_習慣設計'!$B$6)+1</f>
        <v>18</v>
      </c>
      <c r="E537" s="12"/>
      <c r="F537" s="3"/>
      <c r="G537" s="3"/>
      <c r="H537" s="41">
        <f t="shared" si="2"/>
        <v>0</v>
      </c>
    </row>
    <row r="538" ht="21.75" customHeight="1">
      <c r="A538" s="42">
        <v>46730.0</v>
      </c>
      <c r="B538" s="41" t="str">
        <f t="shared" si="1"/>
        <v>木</v>
      </c>
      <c r="C538" s="41">
        <f>ROUNDUP((A538-'01_習慣設計'!$B$6+1)/7,0)</f>
        <v>76</v>
      </c>
      <c r="D538" s="41">
        <f>(YEAR(A538)-YEAR('01_習慣設計'!$B$6))*12+MONTH(A538)-MONTH('01_習慣設計'!$B$6)+1</f>
        <v>18</v>
      </c>
      <c r="E538" s="12"/>
      <c r="F538" s="3"/>
      <c r="G538" s="3"/>
      <c r="H538" s="41">
        <f t="shared" si="2"/>
        <v>0</v>
      </c>
    </row>
    <row r="539" ht="21.75" customHeight="1">
      <c r="A539" s="42">
        <v>46731.0</v>
      </c>
      <c r="B539" s="41" t="str">
        <f t="shared" si="1"/>
        <v>金</v>
      </c>
      <c r="C539" s="41">
        <f>ROUNDUP((A539-'01_習慣設計'!$B$6+1)/7,0)</f>
        <v>76</v>
      </c>
      <c r="D539" s="41">
        <f>(YEAR(A539)-YEAR('01_習慣設計'!$B$6))*12+MONTH(A539)-MONTH('01_習慣設計'!$B$6)+1</f>
        <v>18</v>
      </c>
      <c r="E539" s="12"/>
      <c r="F539" s="3"/>
      <c r="G539" s="3"/>
      <c r="H539" s="41">
        <f t="shared" si="2"/>
        <v>0</v>
      </c>
    </row>
    <row r="540" ht="21.75" customHeight="1">
      <c r="A540" s="42">
        <v>46732.0</v>
      </c>
      <c r="B540" s="41" t="str">
        <f t="shared" si="1"/>
        <v>土</v>
      </c>
      <c r="C540" s="41">
        <f>ROUNDUP((A540-'01_習慣設計'!$B$6+1)/7,0)</f>
        <v>76</v>
      </c>
      <c r="D540" s="41">
        <f>(YEAR(A540)-YEAR('01_習慣設計'!$B$6))*12+MONTH(A540)-MONTH('01_習慣設計'!$B$6)+1</f>
        <v>18</v>
      </c>
      <c r="E540" s="12"/>
      <c r="F540" s="3"/>
      <c r="G540" s="3"/>
      <c r="H540" s="41">
        <f t="shared" si="2"/>
        <v>0</v>
      </c>
    </row>
    <row r="541" ht="21.75" customHeight="1">
      <c r="A541" s="42">
        <v>46733.0</v>
      </c>
      <c r="B541" s="41" t="str">
        <f t="shared" si="1"/>
        <v>日</v>
      </c>
      <c r="C541" s="41">
        <f>ROUNDUP((A541-'01_習慣設計'!$B$6+1)/7,0)</f>
        <v>76</v>
      </c>
      <c r="D541" s="41">
        <f>(YEAR(A541)-YEAR('01_習慣設計'!$B$6))*12+MONTH(A541)-MONTH('01_習慣設計'!$B$6)+1</f>
        <v>18</v>
      </c>
      <c r="E541" s="12"/>
      <c r="F541" s="3"/>
      <c r="G541" s="3"/>
      <c r="H541" s="41">
        <f t="shared" si="2"/>
        <v>0</v>
      </c>
    </row>
    <row r="542" ht="21.75" customHeight="1">
      <c r="A542" s="42">
        <v>46734.0</v>
      </c>
      <c r="B542" s="41" t="str">
        <f t="shared" si="1"/>
        <v>月</v>
      </c>
      <c r="C542" s="41">
        <f>ROUNDUP((A542-'01_習慣設計'!$B$6+1)/7,0)</f>
        <v>76</v>
      </c>
      <c r="D542" s="41">
        <f>(YEAR(A542)-YEAR('01_習慣設計'!$B$6))*12+MONTH(A542)-MONTH('01_習慣設計'!$B$6)+1</f>
        <v>18</v>
      </c>
      <c r="E542" s="12"/>
      <c r="F542" s="3"/>
      <c r="G542" s="3"/>
      <c r="H542" s="41">
        <f t="shared" si="2"/>
        <v>0</v>
      </c>
    </row>
    <row r="543" ht="21.75" customHeight="1">
      <c r="A543" s="42">
        <v>46735.0</v>
      </c>
      <c r="B543" s="41" t="str">
        <f t="shared" si="1"/>
        <v>火</v>
      </c>
      <c r="C543" s="41">
        <f>ROUNDUP((A543-'01_習慣設計'!$B$6+1)/7,0)</f>
        <v>76</v>
      </c>
      <c r="D543" s="41">
        <f>(YEAR(A543)-YEAR('01_習慣設計'!$B$6))*12+MONTH(A543)-MONTH('01_習慣設計'!$B$6)+1</f>
        <v>18</v>
      </c>
      <c r="E543" s="12"/>
      <c r="F543" s="3"/>
      <c r="G543" s="3"/>
      <c r="H543" s="41">
        <f t="shared" si="2"/>
        <v>0</v>
      </c>
    </row>
    <row r="544" ht="21.75" customHeight="1">
      <c r="A544" s="42">
        <v>46736.0</v>
      </c>
      <c r="B544" s="41" t="str">
        <f t="shared" si="1"/>
        <v>水</v>
      </c>
      <c r="C544" s="41">
        <f>ROUNDUP((A544-'01_習慣設計'!$B$6+1)/7,0)</f>
        <v>77</v>
      </c>
      <c r="D544" s="41">
        <f>(YEAR(A544)-YEAR('01_習慣設計'!$B$6))*12+MONTH(A544)-MONTH('01_習慣設計'!$B$6)+1</f>
        <v>18</v>
      </c>
      <c r="E544" s="12"/>
      <c r="F544" s="3"/>
      <c r="G544" s="3"/>
      <c r="H544" s="41">
        <f t="shared" si="2"/>
        <v>0</v>
      </c>
    </row>
    <row r="545" ht="21.75" customHeight="1">
      <c r="A545" s="42">
        <v>46737.0</v>
      </c>
      <c r="B545" s="41" t="str">
        <f t="shared" si="1"/>
        <v>木</v>
      </c>
      <c r="C545" s="41">
        <f>ROUNDUP((A545-'01_習慣設計'!$B$6+1)/7,0)</f>
        <v>77</v>
      </c>
      <c r="D545" s="41">
        <f>(YEAR(A545)-YEAR('01_習慣設計'!$B$6))*12+MONTH(A545)-MONTH('01_習慣設計'!$B$6)+1</f>
        <v>18</v>
      </c>
      <c r="E545" s="12"/>
      <c r="F545" s="3"/>
      <c r="G545" s="3"/>
      <c r="H545" s="41">
        <f t="shared" si="2"/>
        <v>0</v>
      </c>
    </row>
    <row r="546" ht="21.75" customHeight="1">
      <c r="A546" s="42">
        <v>46738.0</v>
      </c>
      <c r="B546" s="41" t="str">
        <f t="shared" si="1"/>
        <v>金</v>
      </c>
      <c r="C546" s="41">
        <f>ROUNDUP((A546-'01_習慣設計'!$B$6+1)/7,0)</f>
        <v>77</v>
      </c>
      <c r="D546" s="41">
        <f>(YEAR(A546)-YEAR('01_習慣設計'!$B$6))*12+MONTH(A546)-MONTH('01_習慣設計'!$B$6)+1</f>
        <v>18</v>
      </c>
      <c r="E546" s="12"/>
      <c r="F546" s="3"/>
      <c r="G546" s="3"/>
      <c r="H546" s="41">
        <f t="shared" si="2"/>
        <v>0</v>
      </c>
    </row>
    <row r="547" ht="21.75" customHeight="1">
      <c r="A547" s="42">
        <v>46739.0</v>
      </c>
      <c r="B547" s="41" t="str">
        <f t="shared" si="1"/>
        <v>土</v>
      </c>
      <c r="C547" s="41">
        <f>ROUNDUP((A547-'01_習慣設計'!$B$6+1)/7,0)</f>
        <v>77</v>
      </c>
      <c r="D547" s="41">
        <f>(YEAR(A547)-YEAR('01_習慣設計'!$B$6))*12+MONTH(A547)-MONTH('01_習慣設計'!$B$6)+1</f>
        <v>18</v>
      </c>
      <c r="E547" s="12"/>
      <c r="F547" s="3"/>
      <c r="G547" s="3"/>
      <c r="H547" s="41">
        <f t="shared" si="2"/>
        <v>0</v>
      </c>
    </row>
    <row r="548" ht="21.75" customHeight="1">
      <c r="A548" s="42">
        <v>46740.0</v>
      </c>
      <c r="B548" s="41" t="str">
        <f t="shared" si="1"/>
        <v>日</v>
      </c>
      <c r="C548" s="41">
        <f>ROUNDUP((A548-'01_習慣設計'!$B$6+1)/7,0)</f>
        <v>77</v>
      </c>
      <c r="D548" s="41">
        <f>(YEAR(A548)-YEAR('01_習慣設計'!$B$6))*12+MONTH(A548)-MONTH('01_習慣設計'!$B$6)+1</f>
        <v>18</v>
      </c>
      <c r="E548" s="12"/>
      <c r="F548" s="3"/>
      <c r="G548" s="3"/>
      <c r="H548" s="41">
        <f t="shared" si="2"/>
        <v>0</v>
      </c>
    </row>
    <row r="549" ht="21.75" customHeight="1">
      <c r="A549" s="42">
        <v>46741.0</v>
      </c>
      <c r="B549" s="41" t="str">
        <f t="shared" si="1"/>
        <v>月</v>
      </c>
      <c r="C549" s="41">
        <f>ROUNDUP((A549-'01_習慣設計'!$B$6+1)/7,0)</f>
        <v>77</v>
      </c>
      <c r="D549" s="41">
        <f>(YEAR(A549)-YEAR('01_習慣設計'!$B$6))*12+MONTH(A549)-MONTH('01_習慣設計'!$B$6)+1</f>
        <v>18</v>
      </c>
      <c r="E549" s="12"/>
      <c r="F549" s="3"/>
      <c r="G549" s="3"/>
      <c r="H549" s="41">
        <f t="shared" si="2"/>
        <v>0</v>
      </c>
    </row>
    <row r="550" ht="21.75" customHeight="1">
      <c r="A550" s="42">
        <v>46742.0</v>
      </c>
      <c r="B550" s="41" t="str">
        <f t="shared" si="1"/>
        <v>火</v>
      </c>
      <c r="C550" s="41">
        <f>ROUNDUP((A550-'01_習慣設計'!$B$6+1)/7,0)</f>
        <v>77</v>
      </c>
      <c r="D550" s="41">
        <f>(YEAR(A550)-YEAR('01_習慣設計'!$B$6))*12+MONTH(A550)-MONTH('01_習慣設計'!$B$6)+1</f>
        <v>18</v>
      </c>
      <c r="E550" s="12"/>
      <c r="F550" s="3"/>
      <c r="G550" s="3"/>
      <c r="H550" s="41">
        <f t="shared" si="2"/>
        <v>0</v>
      </c>
    </row>
    <row r="551" ht="21.75" customHeight="1">
      <c r="A551" s="42">
        <v>46743.0</v>
      </c>
      <c r="B551" s="41" t="str">
        <f t="shared" si="1"/>
        <v>水</v>
      </c>
      <c r="C551" s="41">
        <f>ROUNDUP((A551-'01_習慣設計'!$B$6+1)/7,0)</f>
        <v>78</v>
      </c>
      <c r="D551" s="41">
        <f>(YEAR(A551)-YEAR('01_習慣設計'!$B$6))*12+MONTH(A551)-MONTH('01_習慣設計'!$B$6)+1</f>
        <v>18</v>
      </c>
      <c r="E551" s="12"/>
      <c r="F551" s="3"/>
      <c r="G551" s="3"/>
      <c r="H551" s="41">
        <f t="shared" si="2"/>
        <v>0</v>
      </c>
    </row>
    <row r="552" ht="21.75" customHeight="1">
      <c r="A552" s="42">
        <v>46744.0</v>
      </c>
      <c r="B552" s="41" t="str">
        <f t="shared" si="1"/>
        <v>木</v>
      </c>
      <c r="C552" s="41">
        <f>ROUNDUP((A552-'01_習慣設計'!$B$6+1)/7,0)</f>
        <v>78</v>
      </c>
      <c r="D552" s="41">
        <f>(YEAR(A552)-YEAR('01_習慣設計'!$B$6))*12+MONTH(A552)-MONTH('01_習慣設計'!$B$6)+1</f>
        <v>18</v>
      </c>
      <c r="E552" s="12"/>
      <c r="F552" s="3"/>
      <c r="G552" s="3"/>
      <c r="H552" s="41">
        <f t="shared" si="2"/>
        <v>0</v>
      </c>
    </row>
    <row r="553" ht="21.75" customHeight="1">
      <c r="A553" s="42">
        <v>46745.0</v>
      </c>
      <c r="B553" s="41" t="str">
        <f t="shared" si="1"/>
        <v>金</v>
      </c>
      <c r="C553" s="41">
        <f>ROUNDUP((A553-'01_習慣設計'!$B$6+1)/7,0)</f>
        <v>78</v>
      </c>
      <c r="D553" s="41">
        <f>(YEAR(A553)-YEAR('01_習慣設計'!$B$6))*12+MONTH(A553)-MONTH('01_習慣設計'!$B$6)+1</f>
        <v>18</v>
      </c>
      <c r="E553" s="12"/>
      <c r="F553" s="3"/>
      <c r="G553" s="3"/>
      <c r="H553" s="41">
        <f t="shared" si="2"/>
        <v>0</v>
      </c>
    </row>
    <row r="554" ht="21.75" customHeight="1">
      <c r="A554" s="42">
        <v>46746.0</v>
      </c>
      <c r="B554" s="41" t="str">
        <f t="shared" si="1"/>
        <v>土</v>
      </c>
      <c r="C554" s="41">
        <f>ROUNDUP((A554-'01_習慣設計'!$B$6+1)/7,0)</f>
        <v>78</v>
      </c>
      <c r="D554" s="41">
        <f>(YEAR(A554)-YEAR('01_習慣設計'!$B$6))*12+MONTH(A554)-MONTH('01_習慣設計'!$B$6)+1</f>
        <v>18</v>
      </c>
      <c r="E554" s="12"/>
      <c r="F554" s="3"/>
      <c r="G554" s="3"/>
      <c r="H554" s="41">
        <f t="shared" si="2"/>
        <v>0</v>
      </c>
    </row>
    <row r="555" ht="21.75" customHeight="1">
      <c r="A555" s="42">
        <v>46747.0</v>
      </c>
      <c r="B555" s="41" t="str">
        <f t="shared" si="1"/>
        <v>日</v>
      </c>
      <c r="C555" s="41">
        <f>ROUNDUP((A555-'01_習慣設計'!$B$6+1)/7,0)</f>
        <v>78</v>
      </c>
      <c r="D555" s="41">
        <f>(YEAR(A555)-YEAR('01_習慣設計'!$B$6))*12+MONTH(A555)-MONTH('01_習慣設計'!$B$6)+1</f>
        <v>18</v>
      </c>
      <c r="E555" s="12"/>
      <c r="F555" s="3"/>
      <c r="G555" s="3"/>
      <c r="H555" s="41">
        <f t="shared" si="2"/>
        <v>0</v>
      </c>
    </row>
    <row r="556" ht="21.75" customHeight="1">
      <c r="A556" s="42">
        <v>46748.0</v>
      </c>
      <c r="B556" s="41" t="str">
        <f t="shared" si="1"/>
        <v>月</v>
      </c>
      <c r="C556" s="41">
        <f>ROUNDUP((A556-'01_習慣設計'!$B$6+1)/7,0)</f>
        <v>78</v>
      </c>
      <c r="D556" s="41">
        <f>(YEAR(A556)-YEAR('01_習慣設計'!$B$6))*12+MONTH(A556)-MONTH('01_習慣設計'!$B$6)+1</f>
        <v>18</v>
      </c>
      <c r="E556" s="12"/>
      <c r="F556" s="3"/>
      <c r="G556" s="3"/>
      <c r="H556" s="41">
        <f t="shared" si="2"/>
        <v>0</v>
      </c>
    </row>
    <row r="557" ht="21.75" customHeight="1">
      <c r="A557" s="42">
        <v>46749.0</v>
      </c>
      <c r="B557" s="41" t="str">
        <f t="shared" si="1"/>
        <v>火</v>
      </c>
      <c r="C557" s="41">
        <f>ROUNDUP((A557-'01_習慣設計'!$B$6+1)/7,0)</f>
        <v>78</v>
      </c>
      <c r="D557" s="41">
        <f>(YEAR(A557)-YEAR('01_習慣設計'!$B$6))*12+MONTH(A557)-MONTH('01_習慣設計'!$B$6)+1</f>
        <v>18</v>
      </c>
      <c r="E557" s="12"/>
      <c r="F557" s="3"/>
      <c r="G557" s="3"/>
      <c r="H557" s="41">
        <f t="shared" si="2"/>
        <v>0</v>
      </c>
    </row>
    <row r="558" ht="21.75" customHeight="1">
      <c r="A558" s="42">
        <v>46750.0</v>
      </c>
      <c r="B558" s="41" t="str">
        <f t="shared" si="1"/>
        <v>水</v>
      </c>
      <c r="C558" s="41">
        <f>ROUNDUP((A558-'01_習慣設計'!$B$6+1)/7,0)</f>
        <v>79</v>
      </c>
      <c r="D558" s="41">
        <f>(YEAR(A558)-YEAR('01_習慣設計'!$B$6))*12+MONTH(A558)-MONTH('01_習慣設計'!$B$6)+1</f>
        <v>18</v>
      </c>
      <c r="E558" s="12"/>
      <c r="F558" s="3"/>
      <c r="G558" s="3"/>
      <c r="H558" s="41">
        <f t="shared" si="2"/>
        <v>0</v>
      </c>
    </row>
    <row r="559" ht="21.75" customHeight="1">
      <c r="A559" s="42">
        <v>46751.0</v>
      </c>
      <c r="B559" s="41" t="str">
        <f t="shared" si="1"/>
        <v>木</v>
      </c>
      <c r="C559" s="41">
        <f>ROUNDUP((A559-'01_習慣設計'!$B$6+1)/7,0)</f>
        <v>79</v>
      </c>
      <c r="D559" s="41">
        <f>(YEAR(A559)-YEAR('01_習慣設計'!$B$6))*12+MONTH(A559)-MONTH('01_習慣設計'!$B$6)+1</f>
        <v>18</v>
      </c>
      <c r="E559" s="12"/>
      <c r="F559" s="3"/>
      <c r="G559" s="3"/>
      <c r="H559" s="41">
        <f t="shared" si="2"/>
        <v>0</v>
      </c>
    </row>
    <row r="560" ht="21.75" customHeight="1">
      <c r="A560" s="42">
        <v>46752.0</v>
      </c>
      <c r="B560" s="41" t="str">
        <f t="shared" si="1"/>
        <v>金</v>
      </c>
      <c r="C560" s="41">
        <f>ROUNDUP((A560-'01_習慣設計'!$B$6+1)/7,0)</f>
        <v>79</v>
      </c>
      <c r="D560" s="41">
        <f>(YEAR(A560)-YEAR('01_習慣設計'!$B$6))*12+MONTH(A560)-MONTH('01_習慣設計'!$B$6)+1</f>
        <v>18</v>
      </c>
      <c r="E560" s="12"/>
      <c r="F560" s="3"/>
      <c r="G560" s="3"/>
      <c r="H560" s="41">
        <f t="shared" si="2"/>
        <v>0</v>
      </c>
    </row>
    <row r="561" ht="21.75" customHeight="1">
      <c r="A561" s="42">
        <v>46753.0</v>
      </c>
      <c r="B561" s="41" t="str">
        <f t="shared" si="1"/>
        <v>土</v>
      </c>
      <c r="C561" s="41">
        <f>ROUNDUP((A561-'01_習慣設計'!$B$6+1)/7,0)</f>
        <v>79</v>
      </c>
      <c r="D561" s="41">
        <f>(YEAR(A561)-YEAR('01_習慣設計'!$B$6))*12+MONTH(A561)-MONTH('01_習慣設計'!$B$6)+1</f>
        <v>19</v>
      </c>
      <c r="E561" s="12"/>
      <c r="F561" s="3"/>
      <c r="G561" s="3"/>
      <c r="H561" s="41">
        <f t="shared" si="2"/>
        <v>0</v>
      </c>
    </row>
    <row r="562" ht="21.75" customHeight="1">
      <c r="A562" s="42">
        <v>46754.0</v>
      </c>
      <c r="B562" s="41" t="str">
        <f t="shared" si="1"/>
        <v>日</v>
      </c>
      <c r="C562" s="41">
        <f>ROUNDUP((A562-'01_習慣設計'!$B$6+1)/7,0)</f>
        <v>79</v>
      </c>
      <c r="D562" s="41">
        <f>(YEAR(A562)-YEAR('01_習慣設計'!$B$6))*12+MONTH(A562)-MONTH('01_習慣設計'!$B$6)+1</f>
        <v>19</v>
      </c>
      <c r="E562" s="12"/>
      <c r="F562" s="3"/>
      <c r="G562" s="3"/>
      <c r="H562" s="41">
        <f t="shared" si="2"/>
        <v>0</v>
      </c>
    </row>
    <row r="563" ht="21.75" customHeight="1">
      <c r="A563" s="42">
        <v>46755.0</v>
      </c>
      <c r="B563" s="41" t="str">
        <f t="shared" si="1"/>
        <v>月</v>
      </c>
      <c r="C563" s="41">
        <f>ROUNDUP((A563-'01_習慣設計'!$B$6+1)/7,0)</f>
        <v>79</v>
      </c>
      <c r="D563" s="41">
        <f>(YEAR(A563)-YEAR('01_習慣設計'!$B$6))*12+MONTH(A563)-MONTH('01_習慣設計'!$B$6)+1</f>
        <v>19</v>
      </c>
      <c r="E563" s="12"/>
      <c r="F563" s="3"/>
      <c r="G563" s="3"/>
      <c r="H563" s="41">
        <f t="shared" si="2"/>
        <v>0</v>
      </c>
    </row>
    <row r="564" ht="21.75" customHeight="1">
      <c r="A564" s="42">
        <v>46756.0</v>
      </c>
      <c r="B564" s="41" t="str">
        <f t="shared" si="1"/>
        <v>火</v>
      </c>
      <c r="C564" s="41">
        <f>ROUNDUP((A564-'01_習慣設計'!$B$6+1)/7,0)</f>
        <v>79</v>
      </c>
      <c r="D564" s="41">
        <f>(YEAR(A564)-YEAR('01_習慣設計'!$B$6))*12+MONTH(A564)-MONTH('01_習慣設計'!$B$6)+1</f>
        <v>19</v>
      </c>
      <c r="E564" s="12"/>
      <c r="F564" s="3"/>
      <c r="G564" s="3"/>
      <c r="H564" s="41">
        <f t="shared" si="2"/>
        <v>0</v>
      </c>
    </row>
    <row r="565" ht="21.75" customHeight="1">
      <c r="A565" s="42">
        <v>46757.0</v>
      </c>
      <c r="B565" s="41" t="str">
        <f t="shared" si="1"/>
        <v>水</v>
      </c>
      <c r="C565" s="41">
        <f>ROUNDUP((A565-'01_習慣設計'!$B$6+1)/7,0)</f>
        <v>80</v>
      </c>
      <c r="D565" s="41">
        <f>(YEAR(A565)-YEAR('01_習慣設計'!$B$6))*12+MONTH(A565)-MONTH('01_習慣設計'!$B$6)+1</f>
        <v>19</v>
      </c>
      <c r="E565" s="12"/>
      <c r="F565" s="3"/>
      <c r="G565" s="3"/>
      <c r="H565" s="41">
        <f t="shared" si="2"/>
        <v>0</v>
      </c>
    </row>
    <row r="566" ht="21.75" customHeight="1">
      <c r="A566" s="42">
        <v>46758.0</v>
      </c>
      <c r="B566" s="41" t="str">
        <f t="shared" si="1"/>
        <v>木</v>
      </c>
      <c r="C566" s="41">
        <f>ROUNDUP((A566-'01_習慣設計'!$B$6+1)/7,0)</f>
        <v>80</v>
      </c>
      <c r="D566" s="41">
        <f>(YEAR(A566)-YEAR('01_習慣設計'!$B$6))*12+MONTH(A566)-MONTH('01_習慣設計'!$B$6)+1</f>
        <v>19</v>
      </c>
      <c r="E566" s="12"/>
      <c r="F566" s="3"/>
      <c r="G566" s="3"/>
      <c r="H566" s="41">
        <f t="shared" si="2"/>
        <v>0</v>
      </c>
    </row>
    <row r="567" ht="21.75" customHeight="1">
      <c r="A567" s="42">
        <v>46759.0</v>
      </c>
      <c r="B567" s="41" t="str">
        <f t="shared" si="1"/>
        <v>金</v>
      </c>
      <c r="C567" s="41">
        <f>ROUNDUP((A567-'01_習慣設計'!$B$6+1)/7,0)</f>
        <v>80</v>
      </c>
      <c r="D567" s="41">
        <f>(YEAR(A567)-YEAR('01_習慣設計'!$B$6))*12+MONTH(A567)-MONTH('01_習慣設計'!$B$6)+1</f>
        <v>19</v>
      </c>
      <c r="E567" s="12"/>
      <c r="F567" s="3"/>
      <c r="G567" s="3"/>
      <c r="H567" s="41">
        <f t="shared" si="2"/>
        <v>0</v>
      </c>
    </row>
    <row r="568" ht="21.75" customHeight="1">
      <c r="A568" s="42">
        <v>46760.0</v>
      </c>
      <c r="B568" s="41" t="str">
        <f t="shared" si="1"/>
        <v>土</v>
      </c>
      <c r="C568" s="41">
        <f>ROUNDUP((A568-'01_習慣設計'!$B$6+1)/7,0)</f>
        <v>80</v>
      </c>
      <c r="D568" s="41">
        <f>(YEAR(A568)-YEAR('01_習慣設計'!$B$6))*12+MONTH(A568)-MONTH('01_習慣設計'!$B$6)+1</f>
        <v>19</v>
      </c>
      <c r="E568" s="12"/>
      <c r="F568" s="3"/>
      <c r="G568" s="3"/>
      <c r="H568" s="41">
        <f t="shared" si="2"/>
        <v>0</v>
      </c>
    </row>
    <row r="569" ht="21.75" customHeight="1">
      <c r="A569" s="42">
        <v>46761.0</v>
      </c>
      <c r="B569" s="41" t="str">
        <f t="shared" si="1"/>
        <v>日</v>
      </c>
      <c r="C569" s="41">
        <f>ROUNDUP((A569-'01_習慣設計'!$B$6+1)/7,0)</f>
        <v>80</v>
      </c>
      <c r="D569" s="41">
        <f>(YEAR(A569)-YEAR('01_習慣設計'!$B$6))*12+MONTH(A569)-MONTH('01_習慣設計'!$B$6)+1</f>
        <v>19</v>
      </c>
      <c r="E569" s="12"/>
      <c r="F569" s="3"/>
      <c r="G569" s="3"/>
      <c r="H569" s="41">
        <f t="shared" si="2"/>
        <v>0</v>
      </c>
    </row>
    <row r="570" ht="21.75" customHeight="1">
      <c r="A570" s="42">
        <v>46762.0</v>
      </c>
      <c r="B570" s="41" t="str">
        <f t="shared" si="1"/>
        <v>月</v>
      </c>
      <c r="C570" s="41">
        <f>ROUNDUP((A570-'01_習慣設計'!$B$6+1)/7,0)</f>
        <v>80</v>
      </c>
      <c r="D570" s="41">
        <f>(YEAR(A570)-YEAR('01_習慣設計'!$B$6))*12+MONTH(A570)-MONTH('01_習慣設計'!$B$6)+1</f>
        <v>19</v>
      </c>
      <c r="E570" s="12"/>
      <c r="F570" s="3"/>
      <c r="G570" s="3"/>
      <c r="H570" s="41">
        <f t="shared" si="2"/>
        <v>0</v>
      </c>
    </row>
    <row r="571" ht="21.75" customHeight="1">
      <c r="A571" s="42">
        <v>46763.0</v>
      </c>
      <c r="B571" s="41" t="str">
        <f t="shared" si="1"/>
        <v>火</v>
      </c>
      <c r="C571" s="41">
        <f>ROUNDUP((A571-'01_習慣設計'!$B$6+1)/7,0)</f>
        <v>80</v>
      </c>
      <c r="D571" s="41">
        <f>(YEAR(A571)-YEAR('01_習慣設計'!$B$6))*12+MONTH(A571)-MONTH('01_習慣設計'!$B$6)+1</f>
        <v>19</v>
      </c>
      <c r="E571" s="12"/>
      <c r="F571" s="3"/>
      <c r="G571" s="3"/>
      <c r="H571" s="41">
        <f t="shared" si="2"/>
        <v>0</v>
      </c>
    </row>
    <row r="572" ht="21.75" customHeight="1">
      <c r="A572" s="42">
        <v>46764.0</v>
      </c>
      <c r="B572" s="41" t="str">
        <f t="shared" si="1"/>
        <v>水</v>
      </c>
      <c r="C572" s="41">
        <f>ROUNDUP((A572-'01_習慣設計'!$B$6+1)/7,0)</f>
        <v>81</v>
      </c>
      <c r="D572" s="41">
        <f>(YEAR(A572)-YEAR('01_習慣設計'!$B$6))*12+MONTH(A572)-MONTH('01_習慣設計'!$B$6)+1</f>
        <v>19</v>
      </c>
      <c r="E572" s="12"/>
      <c r="F572" s="3"/>
      <c r="G572" s="3"/>
      <c r="H572" s="41">
        <f t="shared" si="2"/>
        <v>0</v>
      </c>
    </row>
    <row r="573" ht="21.75" customHeight="1">
      <c r="A573" s="42">
        <v>46765.0</v>
      </c>
      <c r="B573" s="41" t="str">
        <f t="shared" si="1"/>
        <v>木</v>
      </c>
      <c r="C573" s="41">
        <f>ROUNDUP((A573-'01_習慣設計'!$B$6+1)/7,0)</f>
        <v>81</v>
      </c>
      <c r="D573" s="41">
        <f>(YEAR(A573)-YEAR('01_習慣設計'!$B$6))*12+MONTH(A573)-MONTH('01_習慣設計'!$B$6)+1</f>
        <v>19</v>
      </c>
      <c r="E573" s="12"/>
      <c r="F573" s="3"/>
      <c r="G573" s="3"/>
      <c r="H573" s="41">
        <f t="shared" si="2"/>
        <v>0</v>
      </c>
    </row>
    <row r="574" ht="21.75" customHeight="1">
      <c r="A574" s="42">
        <v>46766.0</v>
      </c>
      <c r="B574" s="41" t="str">
        <f t="shared" si="1"/>
        <v>金</v>
      </c>
      <c r="C574" s="41">
        <f>ROUNDUP((A574-'01_習慣設計'!$B$6+1)/7,0)</f>
        <v>81</v>
      </c>
      <c r="D574" s="41">
        <f>(YEAR(A574)-YEAR('01_習慣設計'!$B$6))*12+MONTH(A574)-MONTH('01_習慣設計'!$B$6)+1</f>
        <v>19</v>
      </c>
      <c r="E574" s="12"/>
      <c r="F574" s="3"/>
      <c r="G574" s="3"/>
      <c r="H574" s="41">
        <f t="shared" si="2"/>
        <v>0</v>
      </c>
    </row>
    <row r="575" ht="21.75" customHeight="1">
      <c r="A575" s="42">
        <v>46767.0</v>
      </c>
      <c r="B575" s="41" t="str">
        <f t="shared" si="1"/>
        <v>土</v>
      </c>
      <c r="C575" s="41">
        <f>ROUNDUP((A575-'01_習慣設計'!$B$6+1)/7,0)</f>
        <v>81</v>
      </c>
      <c r="D575" s="41">
        <f>(YEAR(A575)-YEAR('01_習慣設計'!$B$6))*12+MONTH(A575)-MONTH('01_習慣設計'!$B$6)+1</f>
        <v>19</v>
      </c>
      <c r="E575" s="12"/>
      <c r="F575" s="3"/>
      <c r="G575" s="3"/>
      <c r="H575" s="41">
        <f t="shared" si="2"/>
        <v>0</v>
      </c>
    </row>
    <row r="576" ht="21.75" customHeight="1">
      <c r="A576" s="42">
        <v>46768.0</v>
      </c>
      <c r="B576" s="41" t="str">
        <f t="shared" si="1"/>
        <v>日</v>
      </c>
      <c r="C576" s="41">
        <f>ROUNDUP((A576-'01_習慣設計'!$B$6+1)/7,0)</f>
        <v>81</v>
      </c>
      <c r="D576" s="41">
        <f>(YEAR(A576)-YEAR('01_習慣設計'!$B$6))*12+MONTH(A576)-MONTH('01_習慣設計'!$B$6)+1</f>
        <v>19</v>
      </c>
      <c r="E576" s="12"/>
      <c r="F576" s="3"/>
      <c r="G576" s="3"/>
      <c r="H576" s="41">
        <f t="shared" si="2"/>
        <v>0</v>
      </c>
    </row>
    <row r="577" ht="21.75" customHeight="1">
      <c r="A577" s="42">
        <v>46769.0</v>
      </c>
      <c r="B577" s="41" t="str">
        <f t="shared" si="1"/>
        <v>月</v>
      </c>
      <c r="C577" s="41">
        <f>ROUNDUP((A577-'01_習慣設計'!$B$6+1)/7,0)</f>
        <v>81</v>
      </c>
      <c r="D577" s="41">
        <f>(YEAR(A577)-YEAR('01_習慣設計'!$B$6))*12+MONTH(A577)-MONTH('01_習慣設計'!$B$6)+1</f>
        <v>19</v>
      </c>
      <c r="E577" s="12"/>
      <c r="F577" s="3"/>
      <c r="G577" s="3"/>
      <c r="H577" s="41">
        <f t="shared" si="2"/>
        <v>0</v>
      </c>
    </row>
    <row r="578" ht="21.75" customHeight="1">
      <c r="A578" s="42">
        <v>46770.0</v>
      </c>
      <c r="B578" s="41" t="str">
        <f t="shared" si="1"/>
        <v>火</v>
      </c>
      <c r="C578" s="41">
        <f>ROUNDUP((A578-'01_習慣設計'!$B$6+1)/7,0)</f>
        <v>81</v>
      </c>
      <c r="D578" s="41">
        <f>(YEAR(A578)-YEAR('01_習慣設計'!$B$6))*12+MONTH(A578)-MONTH('01_習慣設計'!$B$6)+1</f>
        <v>19</v>
      </c>
      <c r="E578" s="12"/>
      <c r="F578" s="3"/>
      <c r="G578" s="3"/>
      <c r="H578" s="41">
        <f t="shared" si="2"/>
        <v>0</v>
      </c>
    </row>
    <row r="579" ht="21.75" customHeight="1">
      <c r="A579" s="42">
        <v>46771.0</v>
      </c>
      <c r="B579" s="41" t="str">
        <f t="shared" si="1"/>
        <v>水</v>
      </c>
      <c r="C579" s="41">
        <f>ROUNDUP((A579-'01_習慣設計'!$B$6+1)/7,0)</f>
        <v>82</v>
      </c>
      <c r="D579" s="41">
        <f>(YEAR(A579)-YEAR('01_習慣設計'!$B$6))*12+MONTH(A579)-MONTH('01_習慣設計'!$B$6)+1</f>
        <v>19</v>
      </c>
      <c r="E579" s="12"/>
      <c r="F579" s="3"/>
      <c r="G579" s="3"/>
      <c r="H579" s="41">
        <f t="shared" si="2"/>
        <v>0</v>
      </c>
    </row>
    <row r="580" ht="21.75" customHeight="1">
      <c r="A580" s="42">
        <v>46772.0</v>
      </c>
      <c r="B580" s="41" t="str">
        <f t="shared" si="1"/>
        <v>木</v>
      </c>
      <c r="C580" s="41">
        <f>ROUNDUP((A580-'01_習慣設計'!$B$6+1)/7,0)</f>
        <v>82</v>
      </c>
      <c r="D580" s="41">
        <f>(YEAR(A580)-YEAR('01_習慣設計'!$B$6))*12+MONTH(A580)-MONTH('01_習慣設計'!$B$6)+1</f>
        <v>19</v>
      </c>
      <c r="E580" s="12"/>
      <c r="F580" s="3"/>
      <c r="G580" s="3"/>
      <c r="H580" s="41">
        <f t="shared" si="2"/>
        <v>0</v>
      </c>
    </row>
    <row r="581" ht="21.75" customHeight="1">
      <c r="A581" s="42">
        <v>46773.0</v>
      </c>
      <c r="B581" s="41" t="str">
        <f t="shared" si="1"/>
        <v>金</v>
      </c>
      <c r="C581" s="41">
        <f>ROUNDUP((A581-'01_習慣設計'!$B$6+1)/7,0)</f>
        <v>82</v>
      </c>
      <c r="D581" s="41">
        <f>(YEAR(A581)-YEAR('01_習慣設計'!$B$6))*12+MONTH(A581)-MONTH('01_習慣設計'!$B$6)+1</f>
        <v>19</v>
      </c>
      <c r="E581" s="12"/>
      <c r="F581" s="3"/>
      <c r="G581" s="3"/>
      <c r="H581" s="41">
        <f t="shared" si="2"/>
        <v>0</v>
      </c>
    </row>
    <row r="582" ht="21.75" customHeight="1">
      <c r="A582" s="42">
        <v>46774.0</v>
      </c>
      <c r="B582" s="41" t="str">
        <f t="shared" si="1"/>
        <v>土</v>
      </c>
      <c r="C582" s="41">
        <f>ROUNDUP((A582-'01_習慣設計'!$B$6+1)/7,0)</f>
        <v>82</v>
      </c>
      <c r="D582" s="41">
        <f>(YEAR(A582)-YEAR('01_習慣設計'!$B$6))*12+MONTH(A582)-MONTH('01_習慣設計'!$B$6)+1</f>
        <v>19</v>
      </c>
      <c r="E582" s="12"/>
      <c r="F582" s="3"/>
      <c r="G582" s="3"/>
      <c r="H582" s="41">
        <f t="shared" si="2"/>
        <v>0</v>
      </c>
    </row>
    <row r="583" ht="21.75" customHeight="1">
      <c r="A583" s="42">
        <v>46775.0</v>
      </c>
      <c r="B583" s="41" t="str">
        <f t="shared" si="1"/>
        <v>日</v>
      </c>
      <c r="C583" s="41">
        <f>ROUNDUP((A583-'01_習慣設計'!$B$6+1)/7,0)</f>
        <v>82</v>
      </c>
      <c r="D583" s="41">
        <f>(YEAR(A583)-YEAR('01_習慣設計'!$B$6))*12+MONTH(A583)-MONTH('01_習慣設計'!$B$6)+1</f>
        <v>19</v>
      </c>
      <c r="E583" s="12"/>
      <c r="F583" s="3"/>
      <c r="G583" s="3"/>
      <c r="H583" s="41">
        <f t="shared" si="2"/>
        <v>0</v>
      </c>
    </row>
    <row r="584" ht="21.75" customHeight="1">
      <c r="A584" s="42">
        <v>46776.0</v>
      </c>
      <c r="B584" s="41" t="str">
        <f t="shared" si="1"/>
        <v>月</v>
      </c>
      <c r="C584" s="41">
        <f>ROUNDUP((A584-'01_習慣設計'!$B$6+1)/7,0)</f>
        <v>82</v>
      </c>
      <c r="D584" s="41">
        <f>(YEAR(A584)-YEAR('01_習慣設計'!$B$6))*12+MONTH(A584)-MONTH('01_習慣設計'!$B$6)+1</f>
        <v>19</v>
      </c>
      <c r="E584" s="12"/>
      <c r="F584" s="3"/>
      <c r="G584" s="3"/>
      <c r="H584" s="41">
        <f t="shared" si="2"/>
        <v>0</v>
      </c>
    </row>
    <row r="585" ht="21.75" customHeight="1">
      <c r="A585" s="42">
        <v>46777.0</v>
      </c>
      <c r="B585" s="41" t="str">
        <f t="shared" si="1"/>
        <v>火</v>
      </c>
      <c r="C585" s="41">
        <f>ROUNDUP((A585-'01_習慣設計'!$B$6+1)/7,0)</f>
        <v>82</v>
      </c>
      <c r="D585" s="41">
        <f>(YEAR(A585)-YEAR('01_習慣設計'!$B$6))*12+MONTH(A585)-MONTH('01_習慣設計'!$B$6)+1</f>
        <v>19</v>
      </c>
      <c r="E585" s="12"/>
      <c r="F585" s="3"/>
      <c r="G585" s="3"/>
      <c r="H585" s="41">
        <f t="shared" si="2"/>
        <v>0</v>
      </c>
    </row>
    <row r="586" ht="21.75" customHeight="1">
      <c r="A586" s="42">
        <v>46778.0</v>
      </c>
      <c r="B586" s="41" t="str">
        <f t="shared" si="1"/>
        <v>水</v>
      </c>
      <c r="C586" s="41">
        <f>ROUNDUP((A586-'01_習慣設計'!$B$6+1)/7,0)</f>
        <v>83</v>
      </c>
      <c r="D586" s="41">
        <f>(YEAR(A586)-YEAR('01_習慣設計'!$B$6))*12+MONTH(A586)-MONTH('01_習慣設計'!$B$6)+1</f>
        <v>19</v>
      </c>
      <c r="E586" s="12"/>
      <c r="F586" s="3"/>
      <c r="G586" s="3"/>
      <c r="H586" s="41">
        <f t="shared" si="2"/>
        <v>0</v>
      </c>
    </row>
    <row r="587" ht="21.75" customHeight="1">
      <c r="A587" s="42">
        <v>46779.0</v>
      </c>
      <c r="B587" s="41" t="str">
        <f t="shared" si="1"/>
        <v>木</v>
      </c>
      <c r="C587" s="41">
        <f>ROUNDUP((A587-'01_習慣設計'!$B$6+1)/7,0)</f>
        <v>83</v>
      </c>
      <c r="D587" s="41">
        <f>(YEAR(A587)-YEAR('01_習慣設計'!$B$6))*12+MONTH(A587)-MONTH('01_習慣設計'!$B$6)+1</f>
        <v>19</v>
      </c>
      <c r="E587" s="12"/>
      <c r="F587" s="3"/>
      <c r="G587" s="3"/>
      <c r="H587" s="41">
        <f t="shared" si="2"/>
        <v>0</v>
      </c>
    </row>
    <row r="588" ht="21.75" customHeight="1">
      <c r="A588" s="42">
        <v>46780.0</v>
      </c>
      <c r="B588" s="41" t="str">
        <f t="shared" si="1"/>
        <v>金</v>
      </c>
      <c r="C588" s="41">
        <f>ROUNDUP((A588-'01_習慣設計'!$B$6+1)/7,0)</f>
        <v>83</v>
      </c>
      <c r="D588" s="41">
        <f>(YEAR(A588)-YEAR('01_習慣設計'!$B$6))*12+MONTH(A588)-MONTH('01_習慣設計'!$B$6)+1</f>
        <v>19</v>
      </c>
      <c r="E588" s="12"/>
      <c r="F588" s="3"/>
      <c r="G588" s="3"/>
      <c r="H588" s="41">
        <f t="shared" si="2"/>
        <v>0</v>
      </c>
    </row>
    <row r="589" ht="21.75" customHeight="1">
      <c r="A589" s="42">
        <v>46781.0</v>
      </c>
      <c r="B589" s="41" t="str">
        <f t="shared" si="1"/>
        <v>土</v>
      </c>
      <c r="C589" s="41">
        <f>ROUNDUP((A589-'01_習慣設計'!$B$6+1)/7,0)</f>
        <v>83</v>
      </c>
      <c r="D589" s="41">
        <f>(YEAR(A589)-YEAR('01_習慣設計'!$B$6))*12+MONTH(A589)-MONTH('01_習慣設計'!$B$6)+1</f>
        <v>19</v>
      </c>
      <c r="E589" s="12"/>
      <c r="F589" s="3"/>
      <c r="G589" s="3"/>
      <c r="H589" s="41">
        <f t="shared" si="2"/>
        <v>0</v>
      </c>
    </row>
    <row r="590" ht="21.75" customHeight="1">
      <c r="A590" s="42">
        <v>46782.0</v>
      </c>
      <c r="B590" s="41" t="str">
        <f t="shared" si="1"/>
        <v>日</v>
      </c>
      <c r="C590" s="41">
        <f>ROUNDUP((A590-'01_習慣設計'!$B$6+1)/7,0)</f>
        <v>83</v>
      </c>
      <c r="D590" s="41">
        <f>(YEAR(A590)-YEAR('01_習慣設計'!$B$6))*12+MONTH(A590)-MONTH('01_習慣設計'!$B$6)+1</f>
        <v>19</v>
      </c>
      <c r="E590" s="12"/>
      <c r="F590" s="3"/>
      <c r="G590" s="3"/>
      <c r="H590" s="41">
        <f t="shared" si="2"/>
        <v>0</v>
      </c>
    </row>
    <row r="591" ht="21.75" customHeight="1">
      <c r="A591" s="42">
        <v>46783.0</v>
      </c>
      <c r="B591" s="41" t="str">
        <f t="shared" si="1"/>
        <v>月</v>
      </c>
      <c r="C591" s="41">
        <f>ROUNDUP((A591-'01_習慣設計'!$B$6+1)/7,0)</f>
        <v>83</v>
      </c>
      <c r="D591" s="41">
        <f>(YEAR(A591)-YEAR('01_習慣設計'!$B$6))*12+MONTH(A591)-MONTH('01_習慣設計'!$B$6)+1</f>
        <v>19</v>
      </c>
      <c r="E591" s="12"/>
      <c r="F591" s="3"/>
      <c r="G591" s="3"/>
      <c r="H591" s="41">
        <f t="shared" si="2"/>
        <v>0</v>
      </c>
    </row>
    <row r="592" ht="21.75" customHeight="1">
      <c r="A592" s="42">
        <v>46784.0</v>
      </c>
      <c r="B592" s="41" t="str">
        <f t="shared" si="1"/>
        <v>火</v>
      </c>
      <c r="C592" s="41">
        <f>ROUNDUP((A592-'01_習慣設計'!$B$6+1)/7,0)</f>
        <v>83</v>
      </c>
      <c r="D592" s="41">
        <f>(YEAR(A592)-YEAR('01_習慣設計'!$B$6))*12+MONTH(A592)-MONTH('01_習慣設計'!$B$6)+1</f>
        <v>20</v>
      </c>
      <c r="E592" s="12"/>
      <c r="F592" s="3"/>
      <c r="G592" s="3"/>
      <c r="H592" s="41">
        <f t="shared" si="2"/>
        <v>0</v>
      </c>
    </row>
    <row r="593" ht="21.75" customHeight="1">
      <c r="A593" s="42">
        <v>46785.0</v>
      </c>
      <c r="B593" s="41" t="str">
        <f t="shared" si="1"/>
        <v>水</v>
      </c>
      <c r="C593" s="41">
        <f>ROUNDUP((A593-'01_習慣設計'!$B$6+1)/7,0)</f>
        <v>84</v>
      </c>
      <c r="D593" s="41">
        <f>(YEAR(A593)-YEAR('01_習慣設計'!$B$6))*12+MONTH(A593)-MONTH('01_習慣設計'!$B$6)+1</f>
        <v>20</v>
      </c>
      <c r="E593" s="12"/>
      <c r="F593" s="3"/>
      <c r="G593" s="3"/>
      <c r="H593" s="41">
        <f t="shared" si="2"/>
        <v>0</v>
      </c>
    </row>
    <row r="594" ht="21.75" customHeight="1">
      <c r="A594" s="42">
        <v>46786.0</v>
      </c>
      <c r="B594" s="41" t="str">
        <f t="shared" si="1"/>
        <v>木</v>
      </c>
      <c r="C594" s="41">
        <f>ROUNDUP((A594-'01_習慣設計'!$B$6+1)/7,0)</f>
        <v>84</v>
      </c>
      <c r="D594" s="41">
        <f>(YEAR(A594)-YEAR('01_習慣設計'!$B$6))*12+MONTH(A594)-MONTH('01_習慣設計'!$B$6)+1</f>
        <v>20</v>
      </c>
      <c r="E594" s="12"/>
      <c r="F594" s="3"/>
      <c r="G594" s="3"/>
      <c r="H594" s="41">
        <f t="shared" si="2"/>
        <v>0</v>
      </c>
    </row>
    <row r="595" ht="21.75" customHeight="1">
      <c r="A595" s="42">
        <v>46787.0</v>
      </c>
      <c r="B595" s="41" t="str">
        <f t="shared" si="1"/>
        <v>金</v>
      </c>
      <c r="C595" s="41">
        <f>ROUNDUP((A595-'01_習慣設計'!$B$6+1)/7,0)</f>
        <v>84</v>
      </c>
      <c r="D595" s="41">
        <f>(YEAR(A595)-YEAR('01_習慣設計'!$B$6))*12+MONTH(A595)-MONTH('01_習慣設計'!$B$6)+1</f>
        <v>20</v>
      </c>
      <c r="E595" s="12"/>
      <c r="F595" s="3"/>
      <c r="G595" s="3"/>
      <c r="H595" s="41">
        <f t="shared" si="2"/>
        <v>0</v>
      </c>
    </row>
    <row r="596" ht="21.75" customHeight="1">
      <c r="A596" s="42">
        <v>46788.0</v>
      </c>
      <c r="B596" s="41" t="str">
        <f t="shared" si="1"/>
        <v>土</v>
      </c>
      <c r="C596" s="41">
        <f>ROUNDUP((A596-'01_習慣設計'!$B$6+1)/7,0)</f>
        <v>84</v>
      </c>
      <c r="D596" s="41">
        <f>(YEAR(A596)-YEAR('01_習慣設計'!$B$6))*12+MONTH(A596)-MONTH('01_習慣設計'!$B$6)+1</f>
        <v>20</v>
      </c>
      <c r="E596" s="12"/>
      <c r="F596" s="3"/>
      <c r="G596" s="3"/>
      <c r="H596" s="41">
        <f t="shared" si="2"/>
        <v>0</v>
      </c>
    </row>
    <row r="597" ht="21.75" customHeight="1">
      <c r="A597" s="42">
        <v>46789.0</v>
      </c>
      <c r="B597" s="41" t="str">
        <f t="shared" si="1"/>
        <v>日</v>
      </c>
      <c r="C597" s="41">
        <f>ROUNDUP((A597-'01_習慣設計'!$B$6+1)/7,0)</f>
        <v>84</v>
      </c>
      <c r="D597" s="41">
        <f>(YEAR(A597)-YEAR('01_習慣設計'!$B$6))*12+MONTH(A597)-MONTH('01_習慣設計'!$B$6)+1</f>
        <v>20</v>
      </c>
      <c r="E597" s="12"/>
      <c r="F597" s="3"/>
      <c r="G597" s="3"/>
      <c r="H597" s="41">
        <f t="shared" si="2"/>
        <v>0</v>
      </c>
    </row>
    <row r="598" ht="21.75" customHeight="1">
      <c r="A598" s="42">
        <v>46790.0</v>
      </c>
      <c r="B598" s="41" t="str">
        <f t="shared" si="1"/>
        <v>月</v>
      </c>
      <c r="C598" s="41">
        <f>ROUNDUP((A598-'01_習慣設計'!$B$6+1)/7,0)</f>
        <v>84</v>
      </c>
      <c r="D598" s="41">
        <f>(YEAR(A598)-YEAR('01_習慣設計'!$B$6))*12+MONTH(A598)-MONTH('01_習慣設計'!$B$6)+1</f>
        <v>20</v>
      </c>
      <c r="E598" s="12"/>
      <c r="F598" s="3"/>
      <c r="G598" s="3"/>
      <c r="H598" s="41">
        <f t="shared" si="2"/>
        <v>0</v>
      </c>
    </row>
    <row r="599" ht="21.75" customHeight="1">
      <c r="A599" s="42">
        <v>46791.0</v>
      </c>
      <c r="B599" s="41" t="str">
        <f t="shared" si="1"/>
        <v>火</v>
      </c>
      <c r="C599" s="41">
        <f>ROUNDUP((A599-'01_習慣設計'!$B$6+1)/7,0)</f>
        <v>84</v>
      </c>
      <c r="D599" s="41">
        <f>(YEAR(A599)-YEAR('01_習慣設計'!$B$6))*12+MONTH(A599)-MONTH('01_習慣設計'!$B$6)+1</f>
        <v>20</v>
      </c>
      <c r="E599" s="12"/>
      <c r="F599" s="3"/>
      <c r="G599" s="3"/>
      <c r="H599" s="41">
        <f t="shared" si="2"/>
        <v>0</v>
      </c>
    </row>
    <row r="600" ht="21.75" customHeight="1">
      <c r="A600" s="42">
        <v>46792.0</v>
      </c>
      <c r="B600" s="41" t="str">
        <f t="shared" si="1"/>
        <v>水</v>
      </c>
      <c r="C600" s="41">
        <f>ROUNDUP((A600-'01_習慣設計'!$B$6+1)/7,0)</f>
        <v>85</v>
      </c>
      <c r="D600" s="41">
        <f>(YEAR(A600)-YEAR('01_習慣設計'!$B$6))*12+MONTH(A600)-MONTH('01_習慣設計'!$B$6)+1</f>
        <v>20</v>
      </c>
      <c r="E600" s="12"/>
      <c r="F600" s="3"/>
      <c r="G600" s="3"/>
      <c r="H600" s="41">
        <f t="shared" si="2"/>
        <v>0</v>
      </c>
    </row>
    <row r="601" ht="21.75" customHeight="1">
      <c r="A601" s="42">
        <v>46793.0</v>
      </c>
      <c r="B601" s="41" t="str">
        <f t="shared" si="1"/>
        <v>木</v>
      </c>
      <c r="C601" s="41">
        <f>ROUNDUP((A601-'01_習慣設計'!$B$6+1)/7,0)</f>
        <v>85</v>
      </c>
      <c r="D601" s="41">
        <f>(YEAR(A601)-YEAR('01_習慣設計'!$B$6))*12+MONTH(A601)-MONTH('01_習慣設計'!$B$6)+1</f>
        <v>20</v>
      </c>
      <c r="E601" s="12"/>
      <c r="F601" s="3"/>
      <c r="G601" s="3"/>
      <c r="H601" s="41">
        <f t="shared" si="2"/>
        <v>0</v>
      </c>
    </row>
    <row r="602" ht="21.75" customHeight="1">
      <c r="A602" s="42">
        <v>46794.0</v>
      </c>
      <c r="B602" s="41" t="str">
        <f t="shared" si="1"/>
        <v>金</v>
      </c>
      <c r="C602" s="41">
        <f>ROUNDUP((A602-'01_習慣設計'!$B$6+1)/7,0)</f>
        <v>85</v>
      </c>
      <c r="D602" s="41">
        <f>(YEAR(A602)-YEAR('01_習慣設計'!$B$6))*12+MONTH(A602)-MONTH('01_習慣設計'!$B$6)+1</f>
        <v>20</v>
      </c>
      <c r="E602" s="12"/>
      <c r="F602" s="3"/>
      <c r="G602" s="3"/>
      <c r="H602" s="41">
        <f t="shared" si="2"/>
        <v>0</v>
      </c>
    </row>
    <row r="603" ht="21.75" customHeight="1">
      <c r="A603" s="42">
        <v>46795.0</v>
      </c>
      <c r="B603" s="41" t="str">
        <f t="shared" si="1"/>
        <v>土</v>
      </c>
      <c r="C603" s="41">
        <f>ROUNDUP((A603-'01_習慣設計'!$B$6+1)/7,0)</f>
        <v>85</v>
      </c>
      <c r="D603" s="41">
        <f>(YEAR(A603)-YEAR('01_習慣設計'!$B$6))*12+MONTH(A603)-MONTH('01_習慣設計'!$B$6)+1</f>
        <v>20</v>
      </c>
      <c r="E603" s="12"/>
      <c r="F603" s="3"/>
      <c r="G603" s="3"/>
      <c r="H603" s="41">
        <f t="shared" si="2"/>
        <v>0</v>
      </c>
    </row>
    <row r="604" ht="21.75" customHeight="1">
      <c r="A604" s="42">
        <v>46796.0</v>
      </c>
      <c r="B604" s="41" t="str">
        <f t="shared" si="1"/>
        <v>日</v>
      </c>
      <c r="C604" s="41">
        <f>ROUNDUP((A604-'01_習慣設計'!$B$6+1)/7,0)</f>
        <v>85</v>
      </c>
      <c r="D604" s="41">
        <f>(YEAR(A604)-YEAR('01_習慣設計'!$B$6))*12+MONTH(A604)-MONTH('01_習慣設計'!$B$6)+1</f>
        <v>20</v>
      </c>
      <c r="E604" s="12"/>
      <c r="F604" s="3"/>
      <c r="G604" s="3"/>
      <c r="H604" s="41">
        <f t="shared" si="2"/>
        <v>0</v>
      </c>
    </row>
    <row r="605" ht="21.75" customHeight="1">
      <c r="A605" s="42">
        <v>46797.0</v>
      </c>
      <c r="B605" s="41" t="str">
        <f t="shared" si="1"/>
        <v>月</v>
      </c>
      <c r="C605" s="41">
        <f>ROUNDUP((A605-'01_習慣設計'!$B$6+1)/7,0)</f>
        <v>85</v>
      </c>
      <c r="D605" s="41">
        <f>(YEAR(A605)-YEAR('01_習慣設計'!$B$6))*12+MONTH(A605)-MONTH('01_習慣設計'!$B$6)+1</f>
        <v>20</v>
      </c>
      <c r="E605" s="12"/>
      <c r="F605" s="3"/>
      <c r="G605" s="3"/>
      <c r="H605" s="41">
        <f t="shared" si="2"/>
        <v>0</v>
      </c>
    </row>
    <row r="606" ht="21.75" customHeight="1">
      <c r="A606" s="42">
        <v>46798.0</v>
      </c>
      <c r="B606" s="41" t="str">
        <f t="shared" si="1"/>
        <v>火</v>
      </c>
      <c r="C606" s="41">
        <f>ROUNDUP((A606-'01_習慣設計'!$B$6+1)/7,0)</f>
        <v>85</v>
      </c>
      <c r="D606" s="41">
        <f>(YEAR(A606)-YEAR('01_習慣設計'!$B$6))*12+MONTH(A606)-MONTH('01_習慣設計'!$B$6)+1</f>
        <v>20</v>
      </c>
      <c r="E606" s="12"/>
      <c r="F606" s="3"/>
      <c r="G606" s="3"/>
      <c r="H606" s="41">
        <f t="shared" si="2"/>
        <v>0</v>
      </c>
    </row>
    <row r="607" ht="21.75" customHeight="1">
      <c r="A607" s="42">
        <v>46799.0</v>
      </c>
      <c r="B607" s="41" t="str">
        <f t="shared" si="1"/>
        <v>水</v>
      </c>
      <c r="C607" s="41">
        <f>ROUNDUP((A607-'01_習慣設計'!$B$6+1)/7,0)</f>
        <v>86</v>
      </c>
      <c r="D607" s="41">
        <f>(YEAR(A607)-YEAR('01_習慣設計'!$B$6))*12+MONTH(A607)-MONTH('01_習慣設計'!$B$6)+1</f>
        <v>20</v>
      </c>
      <c r="E607" s="12"/>
      <c r="F607" s="3"/>
      <c r="G607" s="3"/>
      <c r="H607" s="41">
        <f t="shared" si="2"/>
        <v>0</v>
      </c>
    </row>
    <row r="608" ht="21.75" customHeight="1">
      <c r="A608" s="42">
        <v>46800.0</v>
      </c>
      <c r="B608" s="41" t="str">
        <f t="shared" si="1"/>
        <v>木</v>
      </c>
      <c r="C608" s="41">
        <f>ROUNDUP((A608-'01_習慣設計'!$B$6+1)/7,0)</f>
        <v>86</v>
      </c>
      <c r="D608" s="41">
        <f>(YEAR(A608)-YEAR('01_習慣設計'!$B$6))*12+MONTH(A608)-MONTH('01_習慣設計'!$B$6)+1</f>
        <v>20</v>
      </c>
      <c r="E608" s="12"/>
      <c r="F608" s="3"/>
      <c r="G608" s="3"/>
      <c r="H608" s="41">
        <f t="shared" si="2"/>
        <v>0</v>
      </c>
    </row>
    <row r="609" ht="21.75" customHeight="1">
      <c r="A609" s="42">
        <v>46801.0</v>
      </c>
      <c r="B609" s="41" t="str">
        <f t="shared" si="1"/>
        <v>金</v>
      </c>
      <c r="C609" s="41">
        <f>ROUNDUP((A609-'01_習慣設計'!$B$6+1)/7,0)</f>
        <v>86</v>
      </c>
      <c r="D609" s="41">
        <f>(YEAR(A609)-YEAR('01_習慣設計'!$B$6))*12+MONTH(A609)-MONTH('01_習慣設計'!$B$6)+1</f>
        <v>20</v>
      </c>
      <c r="E609" s="12"/>
      <c r="F609" s="3"/>
      <c r="G609" s="3"/>
      <c r="H609" s="41">
        <f t="shared" si="2"/>
        <v>0</v>
      </c>
    </row>
    <row r="610" ht="21.75" customHeight="1">
      <c r="A610" s="42">
        <v>46802.0</v>
      </c>
      <c r="B610" s="41" t="str">
        <f t="shared" si="1"/>
        <v>土</v>
      </c>
      <c r="C610" s="41">
        <f>ROUNDUP((A610-'01_習慣設計'!$B$6+1)/7,0)</f>
        <v>86</v>
      </c>
      <c r="D610" s="41">
        <f>(YEAR(A610)-YEAR('01_習慣設計'!$B$6))*12+MONTH(A610)-MONTH('01_習慣設計'!$B$6)+1</f>
        <v>20</v>
      </c>
      <c r="E610" s="12"/>
      <c r="F610" s="3"/>
      <c r="G610" s="3"/>
      <c r="H610" s="41">
        <f t="shared" si="2"/>
        <v>0</v>
      </c>
    </row>
    <row r="611" ht="21.75" customHeight="1">
      <c r="A611" s="42">
        <v>46803.0</v>
      </c>
      <c r="B611" s="41" t="str">
        <f t="shared" si="1"/>
        <v>日</v>
      </c>
      <c r="C611" s="41">
        <f>ROUNDUP((A611-'01_習慣設計'!$B$6+1)/7,0)</f>
        <v>86</v>
      </c>
      <c r="D611" s="41">
        <f>(YEAR(A611)-YEAR('01_習慣設計'!$B$6))*12+MONTH(A611)-MONTH('01_習慣設計'!$B$6)+1</f>
        <v>20</v>
      </c>
      <c r="E611" s="12"/>
      <c r="F611" s="3"/>
      <c r="G611" s="3"/>
      <c r="H611" s="41">
        <f t="shared" si="2"/>
        <v>0</v>
      </c>
    </row>
    <row r="612" ht="21.75" customHeight="1">
      <c r="A612" s="42">
        <v>46804.0</v>
      </c>
      <c r="B612" s="41" t="str">
        <f t="shared" si="1"/>
        <v>月</v>
      </c>
      <c r="C612" s="41">
        <f>ROUNDUP((A612-'01_習慣設計'!$B$6+1)/7,0)</f>
        <v>86</v>
      </c>
      <c r="D612" s="41">
        <f>(YEAR(A612)-YEAR('01_習慣設計'!$B$6))*12+MONTH(A612)-MONTH('01_習慣設計'!$B$6)+1</f>
        <v>20</v>
      </c>
      <c r="E612" s="12"/>
      <c r="F612" s="3"/>
      <c r="G612" s="3"/>
      <c r="H612" s="41">
        <f t="shared" si="2"/>
        <v>0</v>
      </c>
    </row>
    <row r="613" ht="21.75" customHeight="1">
      <c r="A613" s="42">
        <v>46805.0</v>
      </c>
      <c r="B613" s="41" t="str">
        <f t="shared" si="1"/>
        <v>火</v>
      </c>
      <c r="C613" s="41">
        <f>ROUNDUP((A613-'01_習慣設計'!$B$6+1)/7,0)</f>
        <v>86</v>
      </c>
      <c r="D613" s="41">
        <f>(YEAR(A613)-YEAR('01_習慣設計'!$B$6))*12+MONTH(A613)-MONTH('01_習慣設計'!$B$6)+1</f>
        <v>20</v>
      </c>
      <c r="E613" s="12"/>
      <c r="F613" s="3"/>
      <c r="G613" s="3"/>
      <c r="H613" s="41">
        <f t="shared" si="2"/>
        <v>0</v>
      </c>
    </row>
    <row r="614" ht="21.75" customHeight="1">
      <c r="A614" s="42">
        <v>46806.0</v>
      </c>
      <c r="B614" s="41" t="str">
        <f t="shared" si="1"/>
        <v>水</v>
      </c>
      <c r="C614" s="41">
        <f>ROUNDUP((A614-'01_習慣設計'!$B$6+1)/7,0)</f>
        <v>87</v>
      </c>
      <c r="D614" s="41">
        <f>(YEAR(A614)-YEAR('01_習慣設計'!$B$6))*12+MONTH(A614)-MONTH('01_習慣設計'!$B$6)+1</f>
        <v>20</v>
      </c>
      <c r="E614" s="12"/>
      <c r="F614" s="3"/>
      <c r="G614" s="3"/>
      <c r="H614" s="41">
        <f t="shared" si="2"/>
        <v>0</v>
      </c>
    </row>
    <row r="615" ht="21.75" customHeight="1">
      <c r="A615" s="42">
        <v>46807.0</v>
      </c>
      <c r="B615" s="41" t="str">
        <f t="shared" si="1"/>
        <v>木</v>
      </c>
      <c r="C615" s="41">
        <f>ROUNDUP((A615-'01_習慣設計'!$B$6+1)/7,0)</f>
        <v>87</v>
      </c>
      <c r="D615" s="41">
        <f>(YEAR(A615)-YEAR('01_習慣設計'!$B$6))*12+MONTH(A615)-MONTH('01_習慣設計'!$B$6)+1</f>
        <v>20</v>
      </c>
      <c r="E615" s="12"/>
      <c r="F615" s="3"/>
      <c r="G615" s="3"/>
      <c r="H615" s="41">
        <f t="shared" si="2"/>
        <v>0</v>
      </c>
    </row>
    <row r="616" ht="21.75" customHeight="1">
      <c r="A616" s="42">
        <v>46808.0</v>
      </c>
      <c r="B616" s="41" t="str">
        <f t="shared" si="1"/>
        <v>金</v>
      </c>
      <c r="C616" s="41">
        <f>ROUNDUP((A616-'01_習慣設計'!$B$6+1)/7,0)</f>
        <v>87</v>
      </c>
      <c r="D616" s="41">
        <f>(YEAR(A616)-YEAR('01_習慣設計'!$B$6))*12+MONTH(A616)-MONTH('01_習慣設計'!$B$6)+1</f>
        <v>20</v>
      </c>
      <c r="E616" s="12"/>
      <c r="F616" s="3"/>
      <c r="G616" s="3"/>
      <c r="H616" s="41">
        <f t="shared" si="2"/>
        <v>0</v>
      </c>
    </row>
    <row r="617" ht="21.75" customHeight="1">
      <c r="A617" s="42">
        <v>46809.0</v>
      </c>
      <c r="B617" s="41" t="str">
        <f t="shared" si="1"/>
        <v>土</v>
      </c>
      <c r="C617" s="41">
        <f>ROUNDUP((A617-'01_習慣設計'!$B$6+1)/7,0)</f>
        <v>87</v>
      </c>
      <c r="D617" s="41">
        <f>(YEAR(A617)-YEAR('01_習慣設計'!$B$6))*12+MONTH(A617)-MONTH('01_習慣設計'!$B$6)+1</f>
        <v>20</v>
      </c>
      <c r="E617" s="12"/>
      <c r="F617" s="3"/>
      <c r="G617" s="3"/>
      <c r="H617" s="41">
        <f t="shared" si="2"/>
        <v>0</v>
      </c>
    </row>
    <row r="618" ht="21.75" customHeight="1">
      <c r="A618" s="42">
        <v>46810.0</v>
      </c>
      <c r="B618" s="41" t="str">
        <f t="shared" si="1"/>
        <v>日</v>
      </c>
      <c r="C618" s="41">
        <f>ROUNDUP((A618-'01_習慣設計'!$B$6+1)/7,0)</f>
        <v>87</v>
      </c>
      <c r="D618" s="41">
        <f>(YEAR(A618)-YEAR('01_習慣設計'!$B$6))*12+MONTH(A618)-MONTH('01_習慣設計'!$B$6)+1</f>
        <v>20</v>
      </c>
      <c r="E618" s="12"/>
      <c r="F618" s="3"/>
      <c r="G618" s="3"/>
      <c r="H618" s="41">
        <f t="shared" si="2"/>
        <v>0</v>
      </c>
    </row>
    <row r="619" ht="21.75" customHeight="1">
      <c r="A619" s="42">
        <v>46811.0</v>
      </c>
      <c r="B619" s="41" t="str">
        <f t="shared" si="1"/>
        <v>月</v>
      </c>
      <c r="C619" s="41">
        <f>ROUNDUP((A619-'01_習慣設計'!$B$6+1)/7,0)</f>
        <v>87</v>
      </c>
      <c r="D619" s="41">
        <f>(YEAR(A619)-YEAR('01_習慣設計'!$B$6))*12+MONTH(A619)-MONTH('01_習慣設計'!$B$6)+1</f>
        <v>20</v>
      </c>
      <c r="E619" s="12"/>
      <c r="F619" s="3"/>
      <c r="G619" s="3"/>
      <c r="H619" s="41">
        <f t="shared" si="2"/>
        <v>0</v>
      </c>
    </row>
    <row r="620" ht="21.75" customHeight="1">
      <c r="A620" s="42">
        <v>46812.0</v>
      </c>
      <c r="B620" s="41" t="str">
        <f t="shared" si="1"/>
        <v>火</v>
      </c>
      <c r="C620" s="41">
        <f>ROUNDUP((A620-'01_習慣設計'!$B$6+1)/7,0)</f>
        <v>87</v>
      </c>
      <c r="D620" s="41">
        <f>(YEAR(A620)-YEAR('01_習慣設計'!$B$6))*12+MONTH(A620)-MONTH('01_習慣設計'!$B$6)+1</f>
        <v>20</v>
      </c>
      <c r="E620" s="12"/>
      <c r="F620" s="3"/>
      <c r="G620" s="3"/>
      <c r="H620" s="41">
        <f t="shared" si="2"/>
        <v>0</v>
      </c>
    </row>
    <row r="621" ht="21.75" customHeight="1">
      <c r="A621" s="42">
        <v>46813.0</v>
      </c>
      <c r="B621" s="41" t="str">
        <f t="shared" si="1"/>
        <v>水</v>
      </c>
      <c r="C621" s="41">
        <f>ROUNDUP((A621-'01_習慣設計'!$B$6+1)/7,0)</f>
        <v>88</v>
      </c>
      <c r="D621" s="41">
        <f>(YEAR(A621)-YEAR('01_習慣設計'!$B$6))*12+MONTH(A621)-MONTH('01_習慣設計'!$B$6)+1</f>
        <v>21</v>
      </c>
      <c r="E621" s="12"/>
      <c r="F621" s="3"/>
      <c r="G621" s="3"/>
      <c r="H621" s="41">
        <f t="shared" si="2"/>
        <v>0</v>
      </c>
    </row>
    <row r="622" ht="21.75" customHeight="1">
      <c r="A622" s="42">
        <v>46814.0</v>
      </c>
      <c r="B622" s="41" t="str">
        <f t="shared" si="1"/>
        <v>木</v>
      </c>
      <c r="C622" s="41">
        <f>ROUNDUP((A622-'01_習慣設計'!$B$6+1)/7,0)</f>
        <v>88</v>
      </c>
      <c r="D622" s="41">
        <f>(YEAR(A622)-YEAR('01_習慣設計'!$B$6))*12+MONTH(A622)-MONTH('01_習慣設計'!$B$6)+1</f>
        <v>21</v>
      </c>
      <c r="E622" s="12"/>
      <c r="F622" s="3"/>
      <c r="G622" s="3"/>
      <c r="H622" s="41">
        <f t="shared" si="2"/>
        <v>0</v>
      </c>
    </row>
    <row r="623" ht="21.75" customHeight="1">
      <c r="A623" s="42">
        <v>46815.0</v>
      </c>
      <c r="B623" s="41" t="str">
        <f t="shared" si="1"/>
        <v>金</v>
      </c>
      <c r="C623" s="41">
        <f>ROUNDUP((A623-'01_習慣設計'!$B$6+1)/7,0)</f>
        <v>88</v>
      </c>
      <c r="D623" s="41">
        <f>(YEAR(A623)-YEAR('01_習慣設計'!$B$6))*12+MONTH(A623)-MONTH('01_習慣設計'!$B$6)+1</f>
        <v>21</v>
      </c>
      <c r="E623" s="12"/>
      <c r="F623" s="3"/>
      <c r="G623" s="3"/>
      <c r="H623" s="41">
        <f t="shared" si="2"/>
        <v>0</v>
      </c>
    </row>
    <row r="624" ht="21.75" customHeight="1">
      <c r="A624" s="42">
        <v>46816.0</v>
      </c>
      <c r="B624" s="41" t="str">
        <f t="shared" si="1"/>
        <v>土</v>
      </c>
      <c r="C624" s="41">
        <f>ROUNDUP((A624-'01_習慣設計'!$B$6+1)/7,0)</f>
        <v>88</v>
      </c>
      <c r="D624" s="41">
        <f>(YEAR(A624)-YEAR('01_習慣設計'!$B$6))*12+MONTH(A624)-MONTH('01_習慣設計'!$B$6)+1</f>
        <v>21</v>
      </c>
      <c r="E624" s="12"/>
      <c r="F624" s="3"/>
      <c r="G624" s="3"/>
      <c r="H624" s="41">
        <f t="shared" si="2"/>
        <v>0</v>
      </c>
    </row>
    <row r="625" ht="21.75" customHeight="1">
      <c r="A625" s="42">
        <v>46817.0</v>
      </c>
      <c r="B625" s="41" t="str">
        <f t="shared" si="1"/>
        <v>日</v>
      </c>
      <c r="C625" s="41">
        <f>ROUNDUP((A625-'01_習慣設計'!$B$6+1)/7,0)</f>
        <v>88</v>
      </c>
      <c r="D625" s="41">
        <f>(YEAR(A625)-YEAR('01_習慣設計'!$B$6))*12+MONTH(A625)-MONTH('01_習慣設計'!$B$6)+1</f>
        <v>21</v>
      </c>
      <c r="E625" s="12"/>
      <c r="F625" s="3"/>
      <c r="G625" s="3"/>
      <c r="H625" s="41">
        <f t="shared" si="2"/>
        <v>0</v>
      </c>
    </row>
    <row r="626" ht="21.75" customHeight="1">
      <c r="A626" s="42">
        <v>46818.0</v>
      </c>
      <c r="B626" s="41" t="str">
        <f t="shared" si="1"/>
        <v>月</v>
      </c>
      <c r="C626" s="41">
        <f>ROUNDUP((A626-'01_習慣設計'!$B$6+1)/7,0)</f>
        <v>88</v>
      </c>
      <c r="D626" s="41">
        <f>(YEAR(A626)-YEAR('01_習慣設計'!$B$6))*12+MONTH(A626)-MONTH('01_習慣設計'!$B$6)+1</f>
        <v>21</v>
      </c>
      <c r="E626" s="12"/>
      <c r="F626" s="3"/>
      <c r="G626" s="3"/>
      <c r="H626" s="41">
        <f t="shared" si="2"/>
        <v>0</v>
      </c>
    </row>
    <row r="627" ht="21.75" customHeight="1">
      <c r="A627" s="42">
        <v>46819.0</v>
      </c>
      <c r="B627" s="41" t="str">
        <f t="shared" si="1"/>
        <v>火</v>
      </c>
      <c r="C627" s="41">
        <f>ROUNDUP((A627-'01_習慣設計'!$B$6+1)/7,0)</f>
        <v>88</v>
      </c>
      <c r="D627" s="41">
        <f>(YEAR(A627)-YEAR('01_習慣設計'!$B$6))*12+MONTH(A627)-MONTH('01_習慣設計'!$B$6)+1</f>
        <v>21</v>
      </c>
      <c r="E627" s="12"/>
      <c r="F627" s="3"/>
      <c r="G627" s="3"/>
      <c r="H627" s="41">
        <f t="shared" si="2"/>
        <v>0</v>
      </c>
    </row>
    <row r="628" ht="21.75" customHeight="1">
      <c r="A628" s="42">
        <v>46820.0</v>
      </c>
      <c r="B628" s="41" t="str">
        <f t="shared" si="1"/>
        <v>水</v>
      </c>
      <c r="C628" s="41">
        <f>ROUNDUP((A628-'01_習慣設計'!$B$6+1)/7,0)</f>
        <v>89</v>
      </c>
      <c r="D628" s="41">
        <f>(YEAR(A628)-YEAR('01_習慣設計'!$B$6))*12+MONTH(A628)-MONTH('01_習慣設計'!$B$6)+1</f>
        <v>21</v>
      </c>
      <c r="E628" s="12"/>
      <c r="F628" s="3"/>
      <c r="G628" s="3"/>
      <c r="H628" s="41">
        <f t="shared" si="2"/>
        <v>0</v>
      </c>
    </row>
    <row r="629" ht="21.75" customHeight="1">
      <c r="A629" s="42">
        <v>46821.0</v>
      </c>
      <c r="B629" s="41" t="str">
        <f t="shared" si="1"/>
        <v>木</v>
      </c>
      <c r="C629" s="41">
        <f>ROUNDUP((A629-'01_習慣設計'!$B$6+1)/7,0)</f>
        <v>89</v>
      </c>
      <c r="D629" s="41">
        <f>(YEAR(A629)-YEAR('01_習慣設計'!$B$6))*12+MONTH(A629)-MONTH('01_習慣設計'!$B$6)+1</f>
        <v>21</v>
      </c>
      <c r="E629" s="12"/>
      <c r="F629" s="3"/>
      <c r="G629" s="3"/>
      <c r="H629" s="41">
        <f t="shared" si="2"/>
        <v>0</v>
      </c>
    </row>
    <row r="630" ht="21.75" customHeight="1">
      <c r="A630" s="42">
        <v>46822.0</v>
      </c>
      <c r="B630" s="41" t="str">
        <f t="shared" si="1"/>
        <v>金</v>
      </c>
      <c r="C630" s="41">
        <f>ROUNDUP((A630-'01_習慣設計'!$B$6+1)/7,0)</f>
        <v>89</v>
      </c>
      <c r="D630" s="41">
        <f>(YEAR(A630)-YEAR('01_習慣設計'!$B$6))*12+MONTH(A630)-MONTH('01_習慣設計'!$B$6)+1</f>
        <v>21</v>
      </c>
      <c r="E630" s="12"/>
      <c r="F630" s="3"/>
      <c r="G630" s="3"/>
      <c r="H630" s="41">
        <f t="shared" si="2"/>
        <v>0</v>
      </c>
    </row>
    <row r="631" ht="21.75" customHeight="1">
      <c r="A631" s="42">
        <v>46823.0</v>
      </c>
      <c r="B631" s="41" t="str">
        <f t="shared" si="1"/>
        <v>土</v>
      </c>
      <c r="C631" s="41">
        <f>ROUNDUP((A631-'01_習慣設計'!$B$6+1)/7,0)</f>
        <v>89</v>
      </c>
      <c r="D631" s="41">
        <f>(YEAR(A631)-YEAR('01_習慣設計'!$B$6))*12+MONTH(A631)-MONTH('01_習慣設計'!$B$6)+1</f>
        <v>21</v>
      </c>
      <c r="E631" s="12"/>
      <c r="F631" s="3"/>
      <c r="G631" s="3"/>
      <c r="H631" s="41">
        <f t="shared" si="2"/>
        <v>0</v>
      </c>
    </row>
    <row r="632" ht="21.75" customHeight="1">
      <c r="A632" s="42">
        <v>46824.0</v>
      </c>
      <c r="B632" s="41" t="str">
        <f t="shared" si="1"/>
        <v>日</v>
      </c>
      <c r="C632" s="41">
        <f>ROUNDUP((A632-'01_習慣設計'!$B$6+1)/7,0)</f>
        <v>89</v>
      </c>
      <c r="D632" s="41">
        <f>(YEAR(A632)-YEAR('01_習慣設計'!$B$6))*12+MONTH(A632)-MONTH('01_習慣設計'!$B$6)+1</f>
        <v>21</v>
      </c>
      <c r="E632" s="12"/>
      <c r="F632" s="3"/>
      <c r="G632" s="3"/>
      <c r="H632" s="41">
        <f t="shared" si="2"/>
        <v>0</v>
      </c>
    </row>
    <row r="633" ht="21.75" customHeight="1">
      <c r="A633" s="42">
        <v>46825.0</v>
      </c>
      <c r="B633" s="41" t="str">
        <f t="shared" si="1"/>
        <v>月</v>
      </c>
      <c r="C633" s="41">
        <f>ROUNDUP((A633-'01_習慣設計'!$B$6+1)/7,0)</f>
        <v>89</v>
      </c>
      <c r="D633" s="41">
        <f>(YEAR(A633)-YEAR('01_習慣設計'!$B$6))*12+MONTH(A633)-MONTH('01_習慣設計'!$B$6)+1</f>
        <v>21</v>
      </c>
      <c r="E633" s="12"/>
      <c r="F633" s="3"/>
      <c r="G633" s="3"/>
      <c r="H633" s="41">
        <f t="shared" si="2"/>
        <v>0</v>
      </c>
    </row>
    <row r="634" ht="21.75" customHeight="1">
      <c r="A634" s="42">
        <v>46826.0</v>
      </c>
      <c r="B634" s="41" t="str">
        <f t="shared" si="1"/>
        <v>火</v>
      </c>
      <c r="C634" s="41">
        <f>ROUNDUP((A634-'01_習慣設計'!$B$6+1)/7,0)</f>
        <v>89</v>
      </c>
      <c r="D634" s="41">
        <f>(YEAR(A634)-YEAR('01_習慣設計'!$B$6))*12+MONTH(A634)-MONTH('01_習慣設計'!$B$6)+1</f>
        <v>21</v>
      </c>
      <c r="E634" s="12"/>
      <c r="F634" s="3"/>
      <c r="G634" s="3"/>
      <c r="H634" s="41">
        <f t="shared" si="2"/>
        <v>0</v>
      </c>
    </row>
    <row r="635" ht="21.75" customHeight="1">
      <c r="A635" s="42">
        <v>46827.0</v>
      </c>
      <c r="B635" s="41" t="str">
        <f t="shared" si="1"/>
        <v>水</v>
      </c>
      <c r="C635" s="41">
        <f>ROUNDUP((A635-'01_習慣設計'!$B$6+1)/7,0)</f>
        <v>90</v>
      </c>
      <c r="D635" s="41">
        <f>(YEAR(A635)-YEAR('01_習慣設計'!$B$6))*12+MONTH(A635)-MONTH('01_習慣設計'!$B$6)+1</f>
        <v>21</v>
      </c>
      <c r="E635" s="12"/>
      <c r="F635" s="3"/>
      <c r="G635" s="3"/>
      <c r="H635" s="41">
        <f t="shared" si="2"/>
        <v>0</v>
      </c>
    </row>
    <row r="636" ht="21.75" customHeight="1">
      <c r="A636" s="42">
        <v>46828.0</v>
      </c>
      <c r="B636" s="41" t="str">
        <f t="shared" si="1"/>
        <v>木</v>
      </c>
      <c r="C636" s="41">
        <f>ROUNDUP((A636-'01_習慣設計'!$B$6+1)/7,0)</f>
        <v>90</v>
      </c>
      <c r="D636" s="41">
        <f>(YEAR(A636)-YEAR('01_習慣設計'!$B$6))*12+MONTH(A636)-MONTH('01_習慣設計'!$B$6)+1</f>
        <v>21</v>
      </c>
      <c r="E636" s="12"/>
      <c r="F636" s="3"/>
      <c r="G636" s="3"/>
      <c r="H636" s="41">
        <f t="shared" si="2"/>
        <v>0</v>
      </c>
    </row>
    <row r="637" ht="21.75" customHeight="1">
      <c r="A637" s="42">
        <v>46829.0</v>
      </c>
      <c r="B637" s="41" t="str">
        <f t="shared" si="1"/>
        <v>金</v>
      </c>
      <c r="C637" s="41">
        <f>ROUNDUP((A637-'01_習慣設計'!$B$6+1)/7,0)</f>
        <v>90</v>
      </c>
      <c r="D637" s="41">
        <f>(YEAR(A637)-YEAR('01_習慣設計'!$B$6))*12+MONTH(A637)-MONTH('01_習慣設計'!$B$6)+1</f>
        <v>21</v>
      </c>
      <c r="E637" s="12"/>
      <c r="F637" s="3"/>
      <c r="G637" s="3"/>
      <c r="H637" s="41">
        <f t="shared" si="2"/>
        <v>0</v>
      </c>
    </row>
    <row r="638" ht="21.75" customHeight="1">
      <c r="A638" s="42">
        <v>46830.0</v>
      </c>
      <c r="B638" s="41" t="str">
        <f t="shared" si="1"/>
        <v>土</v>
      </c>
      <c r="C638" s="41">
        <f>ROUNDUP((A638-'01_習慣設計'!$B$6+1)/7,0)</f>
        <v>90</v>
      </c>
      <c r="D638" s="41">
        <f>(YEAR(A638)-YEAR('01_習慣設計'!$B$6))*12+MONTH(A638)-MONTH('01_習慣設計'!$B$6)+1</f>
        <v>21</v>
      </c>
      <c r="E638" s="12"/>
      <c r="F638" s="3"/>
      <c r="G638" s="3"/>
      <c r="H638" s="41">
        <f t="shared" si="2"/>
        <v>0</v>
      </c>
    </row>
    <row r="639" ht="21.75" customHeight="1">
      <c r="A639" s="42">
        <v>46831.0</v>
      </c>
      <c r="B639" s="41" t="str">
        <f t="shared" si="1"/>
        <v>日</v>
      </c>
      <c r="C639" s="41">
        <f>ROUNDUP((A639-'01_習慣設計'!$B$6+1)/7,0)</f>
        <v>90</v>
      </c>
      <c r="D639" s="41">
        <f>(YEAR(A639)-YEAR('01_習慣設計'!$B$6))*12+MONTH(A639)-MONTH('01_習慣設計'!$B$6)+1</f>
        <v>21</v>
      </c>
      <c r="E639" s="12"/>
      <c r="F639" s="3"/>
      <c r="G639" s="3"/>
      <c r="H639" s="41">
        <f t="shared" si="2"/>
        <v>0</v>
      </c>
    </row>
    <row r="640" ht="21.75" customHeight="1">
      <c r="A640" s="42">
        <v>46832.0</v>
      </c>
      <c r="B640" s="41" t="str">
        <f t="shared" si="1"/>
        <v>月</v>
      </c>
      <c r="C640" s="41">
        <f>ROUNDUP((A640-'01_習慣設計'!$B$6+1)/7,0)</f>
        <v>90</v>
      </c>
      <c r="D640" s="41">
        <f>(YEAR(A640)-YEAR('01_習慣設計'!$B$6))*12+MONTH(A640)-MONTH('01_習慣設計'!$B$6)+1</f>
        <v>21</v>
      </c>
      <c r="E640" s="12"/>
      <c r="F640" s="3"/>
      <c r="G640" s="3"/>
      <c r="H640" s="41">
        <f t="shared" si="2"/>
        <v>0</v>
      </c>
    </row>
    <row r="641" ht="21.75" customHeight="1">
      <c r="A641" s="42">
        <v>46833.0</v>
      </c>
      <c r="B641" s="41" t="str">
        <f t="shared" si="1"/>
        <v>火</v>
      </c>
      <c r="C641" s="41">
        <f>ROUNDUP((A641-'01_習慣設計'!$B$6+1)/7,0)</f>
        <v>90</v>
      </c>
      <c r="D641" s="41">
        <f>(YEAR(A641)-YEAR('01_習慣設計'!$B$6))*12+MONTH(A641)-MONTH('01_習慣設計'!$B$6)+1</f>
        <v>21</v>
      </c>
      <c r="E641" s="12"/>
      <c r="F641" s="3"/>
      <c r="G641" s="3"/>
      <c r="H641" s="41">
        <f t="shared" si="2"/>
        <v>0</v>
      </c>
    </row>
    <row r="642" ht="21.75" customHeight="1">
      <c r="A642" s="42">
        <v>46834.0</v>
      </c>
      <c r="B642" s="41" t="str">
        <f t="shared" si="1"/>
        <v>水</v>
      </c>
      <c r="C642" s="41">
        <f>ROUNDUP((A642-'01_習慣設計'!$B$6+1)/7,0)</f>
        <v>91</v>
      </c>
      <c r="D642" s="41">
        <f>(YEAR(A642)-YEAR('01_習慣設計'!$B$6))*12+MONTH(A642)-MONTH('01_習慣設計'!$B$6)+1</f>
        <v>21</v>
      </c>
      <c r="E642" s="12"/>
      <c r="F642" s="3"/>
      <c r="G642" s="3"/>
      <c r="H642" s="41">
        <f t="shared" si="2"/>
        <v>0</v>
      </c>
    </row>
    <row r="643" ht="21.75" customHeight="1">
      <c r="A643" s="42">
        <v>46835.0</v>
      </c>
      <c r="B643" s="41" t="str">
        <f t="shared" si="1"/>
        <v>木</v>
      </c>
      <c r="C643" s="41">
        <f>ROUNDUP((A643-'01_習慣設計'!$B$6+1)/7,0)</f>
        <v>91</v>
      </c>
      <c r="D643" s="41">
        <f>(YEAR(A643)-YEAR('01_習慣設計'!$B$6))*12+MONTH(A643)-MONTH('01_習慣設計'!$B$6)+1</f>
        <v>21</v>
      </c>
      <c r="E643" s="12"/>
      <c r="F643" s="3"/>
      <c r="G643" s="3"/>
      <c r="H643" s="41">
        <f t="shared" si="2"/>
        <v>0</v>
      </c>
    </row>
    <row r="644" ht="21.75" customHeight="1">
      <c r="A644" s="42">
        <v>46836.0</v>
      </c>
      <c r="B644" s="41" t="str">
        <f t="shared" si="1"/>
        <v>金</v>
      </c>
      <c r="C644" s="41">
        <f>ROUNDUP((A644-'01_習慣設計'!$B$6+1)/7,0)</f>
        <v>91</v>
      </c>
      <c r="D644" s="41">
        <f>(YEAR(A644)-YEAR('01_習慣設計'!$B$6))*12+MONTH(A644)-MONTH('01_習慣設計'!$B$6)+1</f>
        <v>21</v>
      </c>
      <c r="E644" s="12"/>
      <c r="F644" s="3"/>
      <c r="G644" s="3"/>
      <c r="H644" s="41">
        <f t="shared" si="2"/>
        <v>0</v>
      </c>
    </row>
    <row r="645" ht="21.75" customHeight="1">
      <c r="A645" s="42">
        <v>46837.0</v>
      </c>
      <c r="B645" s="41" t="str">
        <f t="shared" si="1"/>
        <v>土</v>
      </c>
      <c r="C645" s="41">
        <f>ROUNDUP((A645-'01_習慣設計'!$B$6+1)/7,0)</f>
        <v>91</v>
      </c>
      <c r="D645" s="41">
        <f>(YEAR(A645)-YEAR('01_習慣設計'!$B$6))*12+MONTH(A645)-MONTH('01_習慣設計'!$B$6)+1</f>
        <v>21</v>
      </c>
      <c r="E645" s="12"/>
      <c r="F645" s="3"/>
      <c r="G645" s="3"/>
      <c r="H645" s="41">
        <f t="shared" si="2"/>
        <v>0</v>
      </c>
    </row>
    <row r="646" ht="21.75" customHeight="1">
      <c r="A646" s="42">
        <v>46838.0</v>
      </c>
      <c r="B646" s="41" t="str">
        <f t="shared" si="1"/>
        <v>日</v>
      </c>
      <c r="C646" s="41">
        <f>ROUNDUP((A646-'01_習慣設計'!$B$6+1)/7,0)</f>
        <v>91</v>
      </c>
      <c r="D646" s="41">
        <f>(YEAR(A646)-YEAR('01_習慣設計'!$B$6))*12+MONTH(A646)-MONTH('01_習慣設計'!$B$6)+1</f>
        <v>21</v>
      </c>
      <c r="E646" s="12"/>
      <c r="F646" s="3"/>
      <c r="G646" s="3"/>
      <c r="H646" s="41">
        <f t="shared" si="2"/>
        <v>0</v>
      </c>
    </row>
    <row r="647" ht="21.75" customHeight="1">
      <c r="A647" s="42">
        <v>46839.0</v>
      </c>
      <c r="B647" s="41" t="str">
        <f t="shared" si="1"/>
        <v>月</v>
      </c>
      <c r="C647" s="41">
        <f>ROUNDUP((A647-'01_習慣設計'!$B$6+1)/7,0)</f>
        <v>91</v>
      </c>
      <c r="D647" s="41">
        <f>(YEAR(A647)-YEAR('01_習慣設計'!$B$6))*12+MONTH(A647)-MONTH('01_習慣設計'!$B$6)+1</f>
        <v>21</v>
      </c>
      <c r="E647" s="12"/>
      <c r="F647" s="3"/>
      <c r="G647" s="3"/>
      <c r="H647" s="41">
        <f t="shared" si="2"/>
        <v>0</v>
      </c>
    </row>
    <row r="648" ht="21.75" customHeight="1">
      <c r="A648" s="42">
        <v>46840.0</v>
      </c>
      <c r="B648" s="41" t="str">
        <f t="shared" si="1"/>
        <v>火</v>
      </c>
      <c r="C648" s="41">
        <f>ROUNDUP((A648-'01_習慣設計'!$B$6+1)/7,0)</f>
        <v>91</v>
      </c>
      <c r="D648" s="41">
        <f>(YEAR(A648)-YEAR('01_習慣設計'!$B$6))*12+MONTH(A648)-MONTH('01_習慣設計'!$B$6)+1</f>
        <v>21</v>
      </c>
      <c r="E648" s="12"/>
      <c r="F648" s="3"/>
      <c r="G648" s="3"/>
      <c r="H648" s="41">
        <f t="shared" si="2"/>
        <v>0</v>
      </c>
    </row>
    <row r="649" ht="21.75" customHeight="1">
      <c r="A649" s="42">
        <v>46841.0</v>
      </c>
      <c r="B649" s="41" t="str">
        <f t="shared" si="1"/>
        <v>水</v>
      </c>
      <c r="C649" s="41">
        <f>ROUNDUP((A649-'01_習慣設計'!$B$6+1)/7,0)</f>
        <v>92</v>
      </c>
      <c r="D649" s="41">
        <f>(YEAR(A649)-YEAR('01_習慣設計'!$B$6))*12+MONTH(A649)-MONTH('01_習慣設計'!$B$6)+1</f>
        <v>21</v>
      </c>
      <c r="E649" s="12"/>
      <c r="F649" s="3"/>
      <c r="G649" s="3"/>
      <c r="H649" s="41">
        <f t="shared" si="2"/>
        <v>0</v>
      </c>
    </row>
    <row r="650" ht="21.75" customHeight="1">
      <c r="A650" s="42">
        <v>46842.0</v>
      </c>
      <c r="B650" s="41" t="str">
        <f t="shared" si="1"/>
        <v>木</v>
      </c>
      <c r="C650" s="41">
        <f>ROUNDUP((A650-'01_習慣設計'!$B$6+1)/7,0)</f>
        <v>92</v>
      </c>
      <c r="D650" s="41">
        <f>(YEAR(A650)-YEAR('01_習慣設計'!$B$6))*12+MONTH(A650)-MONTH('01_習慣設計'!$B$6)+1</f>
        <v>21</v>
      </c>
      <c r="E650" s="12"/>
      <c r="F650" s="3"/>
      <c r="G650" s="3"/>
      <c r="H650" s="41">
        <f t="shared" si="2"/>
        <v>0</v>
      </c>
    </row>
    <row r="651" ht="21.75" customHeight="1">
      <c r="A651" s="42">
        <v>46843.0</v>
      </c>
      <c r="B651" s="41" t="str">
        <f t="shared" si="1"/>
        <v>金</v>
      </c>
      <c r="C651" s="41">
        <f>ROUNDUP((A651-'01_習慣設計'!$B$6+1)/7,0)</f>
        <v>92</v>
      </c>
      <c r="D651" s="41">
        <f>(YEAR(A651)-YEAR('01_習慣設計'!$B$6))*12+MONTH(A651)-MONTH('01_習慣設計'!$B$6)+1</f>
        <v>21</v>
      </c>
      <c r="E651" s="12"/>
      <c r="F651" s="3"/>
      <c r="G651" s="3"/>
      <c r="H651" s="41">
        <f t="shared" si="2"/>
        <v>0</v>
      </c>
    </row>
    <row r="652" ht="21.75" customHeight="1">
      <c r="A652" s="42">
        <v>46844.0</v>
      </c>
      <c r="B652" s="41" t="str">
        <f t="shared" si="1"/>
        <v>土</v>
      </c>
      <c r="C652" s="41">
        <f>ROUNDUP((A652-'01_習慣設計'!$B$6+1)/7,0)</f>
        <v>92</v>
      </c>
      <c r="D652" s="41">
        <f>(YEAR(A652)-YEAR('01_習慣設計'!$B$6))*12+MONTH(A652)-MONTH('01_習慣設計'!$B$6)+1</f>
        <v>22</v>
      </c>
      <c r="E652" s="12"/>
      <c r="F652" s="3"/>
      <c r="G652" s="3"/>
      <c r="H652" s="41">
        <f t="shared" si="2"/>
        <v>0</v>
      </c>
    </row>
    <row r="653" ht="21.75" customHeight="1">
      <c r="A653" s="42">
        <v>46845.0</v>
      </c>
      <c r="B653" s="41" t="str">
        <f t="shared" si="1"/>
        <v>日</v>
      </c>
      <c r="C653" s="41">
        <f>ROUNDUP((A653-'01_習慣設計'!$B$6+1)/7,0)</f>
        <v>92</v>
      </c>
      <c r="D653" s="41">
        <f>(YEAR(A653)-YEAR('01_習慣設計'!$B$6))*12+MONTH(A653)-MONTH('01_習慣設計'!$B$6)+1</f>
        <v>22</v>
      </c>
      <c r="E653" s="12"/>
      <c r="F653" s="3"/>
      <c r="G653" s="3"/>
      <c r="H653" s="41">
        <f t="shared" si="2"/>
        <v>0</v>
      </c>
    </row>
    <row r="654" ht="21.75" customHeight="1">
      <c r="A654" s="42">
        <v>46846.0</v>
      </c>
      <c r="B654" s="41" t="str">
        <f t="shared" si="1"/>
        <v>月</v>
      </c>
      <c r="C654" s="41">
        <f>ROUNDUP((A654-'01_習慣設計'!$B$6+1)/7,0)</f>
        <v>92</v>
      </c>
      <c r="D654" s="41">
        <f>(YEAR(A654)-YEAR('01_習慣設計'!$B$6))*12+MONTH(A654)-MONTH('01_習慣設計'!$B$6)+1</f>
        <v>22</v>
      </c>
      <c r="E654" s="12"/>
      <c r="F654" s="3"/>
      <c r="G654" s="3"/>
      <c r="H654" s="41">
        <f t="shared" si="2"/>
        <v>0</v>
      </c>
    </row>
    <row r="655" ht="21.75" customHeight="1">
      <c r="A655" s="42">
        <v>46847.0</v>
      </c>
      <c r="B655" s="41" t="str">
        <f t="shared" si="1"/>
        <v>火</v>
      </c>
      <c r="C655" s="41">
        <f>ROUNDUP((A655-'01_習慣設計'!$B$6+1)/7,0)</f>
        <v>92</v>
      </c>
      <c r="D655" s="41">
        <f>(YEAR(A655)-YEAR('01_習慣設計'!$B$6))*12+MONTH(A655)-MONTH('01_習慣設計'!$B$6)+1</f>
        <v>22</v>
      </c>
      <c r="E655" s="12"/>
      <c r="F655" s="3"/>
      <c r="G655" s="3"/>
      <c r="H655" s="41">
        <f t="shared" si="2"/>
        <v>0</v>
      </c>
    </row>
    <row r="656" ht="21.75" customHeight="1">
      <c r="A656" s="42">
        <v>46848.0</v>
      </c>
      <c r="B656" s="41" t="str">
        <f t="shared" si="1"/>
        <v>水</v>
      </c>
      <c r="C656" s="41">
        <f>ROUNDUP((A656-'01_習慣設計'!$B$6+1)/7,0)</f>
        <v>93</v>
      </c>
      <c r="D656" s="41">
        <f>(YEAR(A656)-YEAR('01_習慣設計'!$B$6))*12+MONTH(A656)-MONTH('01_習慣設計'!$B$6)+1</f>
        <v>22</v>
      </c>
      <c r="E656" s="12"/>
      <c r="F656" s="3"/>
      <c r="G656" s="3"/>
      <c r="H656" s="41">
        <f t="shared" si="2"/>
        <v>0</v>
      </c>
    </row>
    <row r="657" ht="21.75" customHeight="1">
      <c r="A657" s="42">
        <v>46849.0</v>
      </c>
      <c r="B657" s="41" t="str">
        <f t="shared" si="1"/>
        <v>木</v>
      </c>
      <c r="C657" s="41">
        <f>ROUNDUP((A657-'01_習慣設計'!$B$6+1)/7,0)</f>
        <v>93</v>
      </c>
      <c r="D657" s="41">
        <f>(YEAR(A657)-YEAR('01_習慣設計'!$B$6))*12+MONTH(A657)-MONTH('01_習慣設計'!$B$6)+1</f>
        <v>22</v>
      </c>
      <c r="E657" s="12"/>
      <c r="F657" s="3"/>
      <c r="G657" s="3"/>
      <c r="H657" s="41">
        <f t="shared" si="2"/>
        <v>0</v>
      </c>
    </row>
    <row r="658" ht="21.75" customHeight="1">
      <c r="A658" s="42">
        <v>46850.0</v>
      </c>
      <c r="B658" s="41" t="str">
        <f t="shared" si="1"/>
        <v>金</v>
      </c>
      <c r="C658" s="41">
        <f>ROUNDUP((A658-'01_習慣設計'!$B$6+1)/7,0)</f>
        <v>93</v>
      </c>
      <c r="D658" s="41">
        <f>(YEAR(A658)-YEAR('01_習慣設計'!$B$6))*12+MONTH(A658)-MONTH('01_習慣設計'!$B$6)+1</f>
        <v>22</v>
      </c>
      <c r="E658" s="12"/>
      <c r="F658" s="3"/>
      <c r="G658" s="3"/>
      <c r="H658" s="41">
        <f t="shared" si="2"/>
        <v>0</v>
      </c>
    </row>
    <row r="659" ht="21.75" customHeight="1">
      <c r="A659" s="42">
        <v>46851.0</v>
      </c>
      <c r="B659" s="41" t="str">
        <f t="shared" si="1"/>
        <v>土</v>
      </c>
      <c r="C659" s="41">
        <f>ROUNDUP((A659-'01_習慣設計'!$B$6+1)/7,0)</f>
        <v>93</v>
      </c>
      <c r="D659" s="41">
        <f>(YEAR(A659)-YEAR('01_習慣設計'!$B$6))*12+MONTH(A659)-MONTH('01_習慣設計'!$B$6)+1</f>
        <v>22</v>
      </c>
      <c r="E659" s="12"/>
      <c r="F659" s="3"/>
      <c r="G659" s="3"/>
      <c r="H659" s="41">
        <f t="shared" si="2"/>
        <v>0</v>
      </c>
    </row>
    <row r="660" ht="21.75" customHeight="1">
      <c r="A660" s="42">
        <v>46852.0</v>
      </c>
      <c r="B660" s="41" t="str">
        <f t="shared" si="1"/>
        <v>日</v>
      </c>
      <c r="C660" s="41">
        <f>ROUNDUP((A660-'01_習慣設計'!$B$6+1)/7,0)</f>
        <v>93</v>
      </c>
      <c r="D660" s="41">
        <f>(YEAR(A660)-YEAR('01_習慣設計'!$B$6))*12+MONTH(A660)-MONTH('01_習慣設計'!$B$6)+1</f>
        <v>22</v>
      </c>
      <c r="E660" s="12"/>
      <c r="F660" s="3"/>
      <c r="G660" s="3"/>
      <c r="H660" s="41">
        <f t="shared" si="2"/>
        <v>0</v>
      </c>
    </row>
    <row r="661" ht="21.75" customHeight="1">
      <c r="A661" s="42">
        <v>46853.0</v>
      </c>
      <c r="B661" s="41" t="str">
        <f t="shared" si="1"/>
        <v>月</v>
      </c>
      <c r="C661" s="41">
        <f>ROUNDUP((A661-'01_習慣設計'!$B$6+1)/7,0)</f>
        <v>93</v>
      </c>
      <c r="D661" s="41">
        <f>(YEAR(A661)-YEAR('01_習慣設計'!$B$6))*12+MONTH(A661)-MONTH('01_習慣設計'!$B$6)+1</f>
        <v>22</v>
      </c>
      <c r="E661" s="12"/>
      <c r="F661" s="3"/>
      <c r="G661" s="3"/>
      <c r="H661" s="41">
        <f t="shared" si="2"/>
        <v>0</v>
      </c>
    </row>
    <row r="662" ht="21.75" customHeight="1">
      <c r="A662" s="42">
        <v>46854.0</v>
      </c>
      <c r="B662" s="41" t="str">
        <f t="shared" si="1"/>
        <v>火</v>
      </c>
      <c r="C662" s="41">
        <f>ROUNDUP((A662-'01_習慣設計'!$B$6+1)/7,0)</f>
        <v>93</v>
      </c>
      <c r="D662" s="41">
        <f>(YEAR(A662)-YEAR('01_習慣設計'!$B$6))*12+MONTH(A662)-MONTH('01_習慣設計'!$B$6)+1</f>
        <v>22</v>
      </c>
      <c r="E662" s="12"/>
      <c r="F662" s="3"/>
      <c r="G662" s="3"/>
      <c r="H662" s="41">
        <f t="shared" si="2"/>
        <v>0</v>
      </c>
    </row>
    <row r="663" ht="21.75" customHeight="1">
      <c r="A663" s="42">
        <v>46855.0</v>
      </c>
      <c r="B663" s="41" t="str">
        <f t="shared" si="1"/>
        <v>水</v>
      </c>
      <c r="C663" s="41">
        <f>ROUNDUP((A663-'01_習慣設計'!$B$6+1)/7,0)</f>
        <v>94</v>
      </c>
      <c r="D663" s="41">
        <f>(YEAR(A663)-YEAR('01_習慣設計'!$B$6))*12+MONTH(A663)-MONTH('01_習慣設計'!$B$6)+1</f>
        <v>22</v>
      </c>
      <c r="E663" s="12"/>
      <c r="F663" s="3"/>
      <c r="G663" s="3"/>
      <c r="H663" s="41">
        <f t="shared" si="2"/>
        <v>0</v>
      </c>
    </row>
    <row r="664" ht="21.75" customHeight="1">
      <c r="A664" s="42">
        <v>46856.0</v>
      </c>
      <c r="B664" s="41" t="str">
        <f t="shared" si="1"/>
        <v>木</v>
      </c>
      <c r="C664" s="41">
        <f>ROUNDUP((A664-'01_習慣設計'!$B$6+1)/7,0)</f>
        <v>94</v>
      </c>
      <c r="D664" s="41">
        <f>(YEAR(A664)-YEAR('01_習慣設計'!$B$6))*12+MONTH(A664)-MONTH('01_習慣設計'!$B$6)+1</f>
        <v>22</v>
      </c>
      <c r="E664" s="12"/>
      <c r="F664" s="3"/>
      <c r="G664" s="3"/>
      <c r="H664" s="41">
        <f t="shared" si="2"/>
        <v>0</v>
      </c>
    </row>
    <row r="665" ht="21.75" customHeight="1">
      <c r="A665" s="42">
        <v>46857.0</v>
      </c>
      <c r="B665" s="41" t="str">
        <f t="shared" si="1"/>
        <v>金</v>
      </c>
      <c r="C665" s="41">
        <f>ROUNDUP((A665-'01_習慣設計'!$B$6+1)/7,0)</f>
        <v>94</v>
      </c>
      <c r="D665" s="41">
        <f>(YEAR(A665)-YEAR('01_習慣設計'!$B$6))*12+MONTH(A665)-MONTH('01_習慣設計'!$B$6)+1</f>
        <v>22</v>
      </c>
      <c r="E665" s="12"/>
      <c r="F665" s="3"/>
      <c r="G665" s="3"/>
      <c r="H665" s="41">
        <f t="shared" si="2"/>
        <v>0</v>
      </c>
    </row>
    <row r="666" ht="21.75" customHeight="1">
      <c r="A666" s="42">
        <v>46858.0</v>
      </c>
      <c r="B666" s="41" t="str">
        <f t="shared" si="1"/>
        <v>土</v>
      </c>
      <c r="C666" s="41">
        <f>ROUNDUP((A666-'01_習慣設計'!$B$6+1)/7,0)</f>
        <v>94</v>
      </c>
      <c r="D666" s="41">
        <f>(YEAR(A666)-YEAR('01_習慣設計'!$B$6))*12+MONTH(A666)-MONTH('01_習慣設計'!$B$6)+1</f>
        <v>22</v>
      </c>
      <c r="E666" s="12"/>
      <c r="F666" s="3"/>
      <c r="G666" s="3"/>
      <c r="H666" s="41">
        <f t="shared" si="2"/>
        <v>0</v>
      </c>
    </row>
    <row r="667" ht="21.75" customHeight="1">
      <c r="A667" s="42">
        <v>46859.0</v>
      </c>
      <c r="B667" s="41" t="str">
        <f t="shared" si="1"/>
        <v>日</v>
      </c>
      <c r="C667" s="41">
        <f>ROUNDUP((A667-'01_習慣設計'!$B$6+1)/7,0)</f>
        <v>94</v>
      </c>
      <c r="D667" s="41">
        <f>(YEAR(A667)-YEAR('01_習慣設計'!$B$6))*12+MONTH(A667)-MONTH('01_習慣設計'!$B$6)+1</f>
        <v>22</v>
      </c>
      <c r="E667" s="12"/>
      <c r="F667" s="3"/>
      <c r="G667" s="3"/>
      <c r="H667" s="41">
        <f t="shared" si="2"/>
        <v>0</v>
      </c>
    </row>
    <row r="668" ht="21.75" customHeight="1">
      <c r="A668" s="42">
        <v>46860.0</v>
      </c>
      <c r="B668" s="41" t="str">
        <f t="shared" si="1"/>
        <v>月</v>
      </c>
      <c r="C668" s="41">
        <f>ROUNDUP((A668-'01_習慣設計'!$B$6+1)/7,0)</f>
        <v>94</v>
      </c>
      <c r="D668" s="41">
        <f>(YEAR(A668)-YEAR('01_習慣設計'!$B$6))*12+MONTH(A668)-MONTH('01_習慣設計'!$B$6)+1</f>
        <v>22</v>
      </c>
      <c r="E668" s="12"/>
      <c r="F668" s="3"/>
      <c r="G668" s="3"/>
      <c r="H668" s="41">
        <f t="shared" si="2"/>
        <v>0</v>
      </c>
    </row>
    <row r="669" ht="21.75" customHeight="1">
      <c r="A669" s="42">
        <v>46861.0</v>
      </c>
      <c r="B669" s="41" t="str">
        <f t="shared" si="1"/>
        <v>火</v>
      </c>
      <c r="C669" s="41">
        <f>ROUNDUP((A669-'01_習慣設計'!$B$6+1)/7,0)</f>
        <v>94</v>
      </c>
      <c r="D669" s="41">
        <f>(YEAR(A669)-YEAR('01_習慣設計'!$B$6))*12+MONTH(A669)-MONTH('01_習慣設計'!$B$6)+1</f>
        <v>22</v>
      </c>
      <c r="E669" s="12"/>
      <c r="F669" s="3"/>
      <c r="G669" s="3"/>
      <c r="H669" s="41">
        <f t="shared" si="2"/>
        <v>0</v>
      </c>
    </row>
    <row r="670" ht="21.75" customHeight="1">
      <c r="A670" s="42">
        <v>46862.0</v>
      </c>
      <c r="B670" s="41" t="str">
        <f t="shared" si="1"/>
        <v>水</v>
      </c>
      <c r="C670" s="41">
        <f>ROUNDUP((A670-'01_習慣設計'!$B$6+1)/7,0)</f>
        <v>95</v>
      </c>
      <c r="D670" s="41">
        <f>(YEAR(A670)-YEAR('01_習慣設計'!$B$6))*12+MONTH(A670)-MONTH('01_習慣設計'!$B$6)+1</f>
        <v>22</v>
      </c>
      <c r="E670" s="12"/>
      <c r="F670" s="3"/>
      <c r="G670" s="3"/>
      <c r="H670" s="41">
        <f t="shared" si="2"/>
        <v>0</v>
      </c>
    </row>
    <row r="671" ht="21.75" customHeight="1">
      <c r="A671" s="42">
        <v>46863.0</v>
      </c>
      <c r="B671" s="41" t="str">
        <f t="shared" si="1"/>
        <v>木</v>
      </c>
      <c r="C671" s="41">
        <f>ROUNDUP((A671-'01_習慣設計'!$B$6+1)/7,0)</f>
        <v>95</v>
      </c>
      <c r="D671" s="41">
        <f>(YEAR(A671)-YEAR('01_習慣設計'!$B$6))*12+MONTH(A671)-MONTH('01_習慣設計'!$B$6)+1</f>
        <v>22</v>
      </c>
      <c r="E671" s="12"/>
      <c r="F671" s="3"/>
      <c r="G671" s="3"/>
      <c r="H671" s="41">
        <f t="shared" si="2"/>
        <v>0</v>
      </c>
    </row>
    <row r="672" ht="21.75" customHeight="1">
      <c r="A672" s="42">
        <v>46864.0</v>
      </c>
      <c r="B672" s="41" t="str">
        <f t="shared" si="1"/>
        <v>金</v>
      </c>
      <c r="C672" s="41">
        <f>ROUNDUP((A672-'01_習慣設計'!$B$6+1)/7,0)</f>
        <v>95</v>
      </c>
      <c r="D672" s="41">
        <f>(YEAR(A672)-YEAR('01_習慣設計'!$B$6))*12+MONTH(A672)-MONTH('01_習慣設計'!$B$6)+1</f>
        <v>22</v>
      </c>
      <c r="E672" s="12"/>
      <c r="F672" s="3"/>
      <c r="G672" s="3"/>
      <c r="H672" s="41">
        <f t="shared" si="2"/>
        <v>0</v>
      </c>
    </row>
    <row r="673" ht="21.75" customHeight="1">
      <c r="A673" s="42">
        <v>46865.0</v>
      </c>
      <c r="B673" s="41" t="str">
        <f t="shared" si="1"/>
        <v>土</v>
      </c>
      <c r="C673" s="41">
        <f>ROUNDUP((A673-'01_習慣設計'!$B$6+1)/7,0)</f>
        <v>95</v>
      </c>
      <c r="D673" s="41">
        <f>(YEAR(A673)-YEAR('01_習慣設計'!$B$6))*12+MONTH(A673)-MONTH('01_習慣設計'!$B$6)+1</f>
        <v>22</v>
      </c>
      <c r="E673" s="12"/>
      <c r="F673" s="3"/>
      <c r="G673" s="3"/>
      <c r="H673" s="41">
        <f t="shared" si="2"/>
        <v>0</v>
      </c>
    </row>
    <row r="674" ht="21.75" customHeight="1">
      <c r="A674" s="42">
        <v>46866.0</v>
      </c>
      <c r="B674" s="41" t="str">
        <f t="shared" si="1"/>
        <v>日</v>
      </c>
      <c r="C674" s="41">
        <f>ROUNDUP((A674-'01_習慣設計'!$B$6+1)/7,0)</f>
        <v>95</v>
      </c>
      <c r="D674" s="41">
        <f>(YEAR(A674)-YEAR('01_習慣設計'!$B$6))*12+MONTH(A674)-MONTH('01_習慣設計'!$B$6)+1</f>
        <v>22</v>
      </c>
      <c r="E674" s="12"/>
      <c r="F674" s="3"/>
      <c r="G674" s="3"/>
      <c r="H674" s="41">
        <f t="shared" si="2"/>
        <v>0</v>
      </c>
    </row>
    <row r="675" ht="21.75" customHeight="1">
      <c r="A675" s="42">
        <v>46867.0</v>
      </c>
      <c r="B675" s="41" t="str">
        <f t="shared" si="1"/>
        <v>月</v>
      </c>
      <c r="C675" s="41">
        <f>ROUNDUP((A675-'01_習慣設計'!$B$6+1)/7,0)</f>
        <v>95</v>
      </c>
      <c r="D675" s="41">
        <f>(YEAR(A675)-YEAR('01_習慣設計'!$B$6))*12+MONTH(A675)-MONTH('01_習慣設計'!$B$6)+1</f>
        <v>22</v>
      </c>
      <c r="E675" s="12"/>
      <c r="F675" s="3"/>
      <c r="G675" s="3"/>
      <c r="H675" s="41">
        <f t="shared" si="2"/>
        <v>0</v>
      </c>
    </row>
    <row r="676" ht="21.75" customHeight="1">
      <c r="A676" s="42">
        <v>46868.0</v>
      </c>
      <c r="B676" s="41" t="str">
        <f t="shared" si="1"/>
        <v>火</v>
      </c>
      <c r="C676" s="41">
        <f>ROUNDUP((A676-'01_習慣設計'!$B$6+1)/7,0)</f>
        <v>95</v>
      </c>
      <c r="D676" s="41">
        <f>(YEAR(A676)-YEAR('01_習慣設計'!$B$6))*12+MONTH(A676)-MONTH('01_習慣設計'!$B$6)+1</f>
        <v>22</v>
      </c>
      <c r="E676" s="12"/>
      <c r="F676" s="3"/>
      <c r="G676" s="3"/>
      <c r="H676" s="41">
        <f t="shared" si="2"/>
        <v>0</v>
      </c>
    </row>
    <row r="677" ht="21.75" customHeight="1">
      <c r="A677" s="42">
        <v>46869.0</v>
      </c>
      <c r="B677" s="41" t="str">
        <f t="shared" si="1"/>
        <v>水</v>
      </c>
      <c r="C677" s="41">
        <f>ROUNDUP((A677-'01_習慣設計'!$B$6+1)/7,0)</f>
        <v>96</v>
      </c>
      <c r="D677" s="41">
        <f>(YEAR(A677)-YEAR('01_習慣設計'!$B$6))*12+MONTH(A677)-MONTH('01_習慣設計'!$B$6)+1</f>
        <v>22</v>
      </c>
      <c r="E677" s="12"/>
      <c r="F677" s="3"/>
      <c r="G677" s="3"/>
      <c r="H677" s="41">
        <f t="shared" si="2"/>
        <v>0</v>
      </c>
    </row>
    <row r="678" ht="21.75" customHeight="1">
      <c r="A678" s="42">
        <v>46870.0</v>
      </c>
      <c r="B678" s="41" t="str">
        <f t="shared" si="1"/>
        <v>木</v>
      </c>
      <c r="C678" s="41">
        <f>ROUNDUP((A678-'01_習慣設計'!$B$6+1)/7,0)</f>
        <v>96</v>
      </c>
      <c r="D678" s="41">
        <f>(YEAR(A678)-YEAR('01_習慣設計'!$B$6))*12+MONTH(A678)-MONTH('01_習慣設計'!$B$6)+1</f>
        <v>22</v>
      </c>
      <c r="E678" s="12"/>
      <c r="F678" s="3"/>
      <c r="G678" s="3"/>
      <c r="H678" s="41">
        <f t="shared" si="2"/>
        <v>0</v>
      </c>
    </row>
    <row r="679" ht="21.75" customHeight="1">
      <c r="A679" s="42">
        <v>46871.0</v>
      </c>
      <c r="B679" s="41" t="str">
        <f t="shared" si="1"/>
        <v>金</v>
      </c>
      <c r="C679" s="41">
        <f>ROUNDUP((A679-'01_習慣設計'!$B$6+1)/7,0)</f>
        <v>96</v>
      </c>
      <c r="D679" s="41">
        <f>(YEAR(A679)-YEAR('01_習慣設計'!$B$6))*12+MONTH(A679)-MONTH('01_習慣設計'!$B$6)+1</f>
        <v>22</v>
      </c>
      <c r="E679" s="12"/>
      <c r="F679" s="3"/>
      <c r="G679" s="3"/>
      <c r="H679" s="41">
        <f t="shared" si="2"/>
        <v>0</v>
      </c>
    </row>
    <row r="680" ht="21.75" customHeight="1">
      <c r="A680" s="42">
        <v>46872.0</v>
      </c>
      <c r="B680" s="41" t="str">
        <f t="shared" si="1"/>
        <v>土</v>
      </c>
      <c r="C680" s="41">
        <f>ROUNDUP((A680-'01_習慣設計'!$B$6+1)/7,0)</f>
        <v>96</v>
      </c>
      <c r="D680" s="41">
        <f>(YEAR(A680)-YEAR('01_習慣設計'!$B$6))*12+MONTH(A680)-MONTH('01_習慣設計'!$B$6)+1</f>
        <v>22</v>
      </c>
      <c r="E680" s="12"/>
      <c r="F680" s="3"/>
      <c r="G680" s="3"/>
      <c r="H680" s="41">
        <f t="shared" si="2"/>
        <v>0</v>
      </c>
    </row>
    <row r="681" ht="21.75" customHeight="1">
      <c r="A681" s="42">
        <v>46873.0</v>
      </c>
      <c r="B681" s="41" t="str">
        <f t="shared" si="1"/>
        <v>日</v>
      </c>
      <c r="C681" s="41">
        <f>ROUNDUP((A681-'01_習慣設計'!$B$6+1)/7,0)</f>
        <v>96</v>
      </c>
      <c r="D681" s="41">
        <f>(YEAR(A681)-YEAR('01_習慣設計'!$B$6))*12+MONTH(A681)-MONTH('01_習慣設計'!$B$6)+1</f>
        <v>22</v>
      </c>
      <c r="E681" s="12"/>
      <c r="F681" s="3"/>
      <c r="G681" s="3"/>
      <c r="H681" s="41">
        <f t="shared" si="2"/>
        <v>0</v>
      </c>
    </row>
    <row r="682" ht="21.75" customHeight="1">
      <c r="A682" s="42">
        <v>46874.0</v>
      </c>
      <c r="B682" s="41" t="str">
        <f t="shared" si="1"/>
        <v>月</v>
      </c>
      <c r="C682" s="41">
        <f>ROUNDUP((A682-'01_習慣設計'!$B$6+1)/7,0)</f>
        <v>96</v>
      </c>
      <c r="D682" s="41">
        <f>(YEAR(A682)-YEAR('01_習慣設計'!$B$6))*12+MONTH(A682)-MONTH('01_習慣設計'!$B$6)+1</f>
        <v>23</v>
      </c>
      <c r="E682" s="12"/>
      <c r="F682" s="3"/>
      <c r="G682" s="3"/>
      <c r="H682" s="41">
        <f t="shared" si="2"/>
        <v>0</v>
      </c>
    </row>
    <row r="683" ht="21.75" customHeight="1">
      <c r="A683" s="42">
        <v>46875.0</v>
      </c>
      <c r="B683" s="41" t="str">
        <f t="shared" si="1"/>
        <v>火</v>
      </c>
      <c r="C683" s="41">
        <f>ROUNDUP((A683-'01_習慣設計'!$B$6+1)/7,0)</f>
        <v>96</v>
      </c>
      <c r="D683" s="41">
        <f>(YEAR(A683)-YEAR('01_習慣設計'!$B$6))*12+MONTH(A683)-MONTH('01_習慣設計'!$B$6)+1</f>
        <v>23</v>
      </c>
      <c r="E683" s="12"/>
      <c r="F683" s="3"/>
      <c r="G683" s="3"/>
      <c r="H683" s="41">
        <f t="shared" si="2"/>
        <v>0</v>
      </c>
    </row>
    <row r="684" ht="21.75" customHeight="1">
      <c r="A684" s="42">
        <v>46876.0</v>
      </c>
      <c r="B684" s="41" t="str">
        <f t="shared" si="1"/>
        <v>水</v>
      </c>
      <c r="C684" s="41">
        <f>ROUNDUP((A684-'01_習慣設計'!$B$6+1)/7,0)</f>
        <v>97</v>
      </c>
      <c r="D684" s="41">
        <f>(YEAR(A684)-YEAR('01_習慣設計'!$B$6))*12+MONTH(A684)-MONTH('01_習慣設計'!$B$6)+1</f>
        <v>23</v>
      </c>
      <c r="E684" s="12"/>
      <c r="F684" s="3"/>
      <c r="G684" s="3"/>
      <c r="H684" s="41">
        <f t="shared" si="2"/>
        <v>0</v>
      </c>
    </row>
    <row r="685" ht="21.75" customHeight="1">
      <c r="A685" s="42">
        <v>46877.0</v>
      </c>
      <c r="B685" s="41" t="str">
        <f t="shared" si="1"/>
        <v>木</v>
      </c>
      <c r="C685" s="41">
        <f>ROUNDUP((A685-'01_習慣設計'!$B$6+1)/7,0)</f>
        <v>97</v>
      </c>
      <c r="D685" s="41">
        <f>(YEAR(A685)-YEAR('01_習慣設計'!$B$6))*12+MONTH(A685)-MONTH('01_習慣設計'!$B$6)+1</f>
        <v>23</v>
      </c>
      <c r="E685" s="12"/>
      <c r="F685" s="3"/>
      <c r="G685" s="3"/>
      <c r="H685" s="41">
        <f t="shared" si="2"/>
        <v>0</v>
      </c>
    </row>
    <row r="686" ht="21.75" customHeight="1">
      <c r="A686" s="42">
        <v>46878.0</v>
      </c>
      <c r="B686" s="41" t="str">
        <f t="shared" si="1"/>
        <v>金</v>
      </c>
      <c r="C686" s="41">
        <f>ROUNDUP((A686-'01_習慣設計'!$B$6+1)/7,0)</f>
        <v>97</v>
      </c>
      <c r="D686" s="41">
        <f>(YEAR(A686)-YEAR('01_習慣設計'!$B$6))*12+MONTH(A686)-MONTH('01_習慣設計'!$B$6)+1</f>
        <v>23</v>
      </c>
      <c r="E686" s="12"/>
      <c r="F686" s="3"/>
      <c r="G686" s="3"/>
      <c r="H686" s="41">
        <f t="shared" si="2"/>
        <v>0</v>
      </c>
    </row>
    <row r="687" ht="21.75" customHeight="1">
      <c r="A687" s="42">
        <v>46879.0</v>
      </c>
      <c r="B687" s="41" t="str">
        <f t="shared" si="1"/>
        <v>土</v>
      </c>
      <c r="C687" s="41">
        <f>ROUNDUP((A687-'01_習慣設計'!$B$6+1)/7,0)</f>
        <v>97</v>
      </c>
      <c r="D687" s="41">
        <f>(YEAR(A687)-YEAR('01_習慣設計'!$B$6))*12+MONTH(A687)-MONTH('01_習慣設計'!$B$6)+1</f>
        <v>23</v>
      </c>
      <c r="E687" s="12"/>
      <c r="F687" s="3"/>
      <c r="G687" s="3"/>
      <c r="H687" s="41">
        <f t="shared" si="2"/>
        <v>0</v>
      </c>
    </row>
    <row r="688" ht="21.75" customHeight="1">
      <c r="A688" s="42">
        <v>46880.0</v>
      </c>
      <c r="B688" s="41" t="str">
        <f t="shared" si="1"/>
        <v>日</v>
      </c>
      <c r="C688" s="41">
        <f>ROUNDUP((A688-'01_習慣設計'!$B$6+1)/7,0)</f>
        <v>97</v>
      </c>
      <c r="D688" s="41">
        <f>(YEAR(A688)-YEAR('01_習慣設計'!$B$6))*12+MONTH(A688)-MONTH('01_習慣設計'!$B$6)+1</f>
        <v>23</v>
      </c>
      <c r="E688" s="12"/>
      <c r="F688" s="3"/>
      <c r="G688" s="3"/>
      <c r="H688" s="41">
        <f t="shared" si="2"/>
        <v>0</v>
      </c>
    </row>
    <row r="689" ht="21.75" customHeight="1">
      <c r="A689" s="42">
        <v>46881.0</v>
      </c>
      <c r="B689" s="41" t="str">
        <f t="shared" si="1"/>
        <v>月</v>
      </c>
      <c r="C689" s="41">
        <f>ROUNDUP((A689-'01_習慣設計'!$B$6+1)/7,0)</f>
        <v>97</v>
      </c>
      <c r="D689" s="41">
        <f>(YEAR(A689)-YEAR('01_習慣設計'!$B$6))*12+MONTH(A689)-MONTH('01_習慣設計'!$B$6)+1</f>
        <v>23</v>
      </c>
      <c r="E689" s="12"/>
      <c r="F689" s="3"/>
      <c r="G689" s="3"/>
      <c r="H689" s="41">
        <f t="shared" si="2"/>
        <v>0</v>
      </c>
    </row>
    <row r="690" ht="21.75" customHeight="1">
      <c r="A690" s="42">
        <v>46882.0</v>
      </c>
      <c r="B690" s="41" t="str">
        <f t="shared" si="1"/>
        <v>火</v>
      </c>
      <c r="C690" s="41">
        <f>ROUNDUP((A690-'01_習慣設計'!$B$6+1)/7,0)</f>
        <v>97</v>
      </c>
      <c r="D690" s="41">
        <f>(YEAR(A690)-YEAR('01_習慣設計'!$B$6))*12+MONTH(A690)-MONTH('01_習慣設計'!$B$6)+1</f>
        <v>23</v>
      </c>
      <c r="E690" s="12"/>
      <c r="F690" s="3"/>
      <c r="G690" s="3"/>
      <c r="H690" s="41">
        <f t="shared" si="2"/>
        <v>0</v>
      </c>
    </row>
    <row r="691" ht="21.75" customHeight="1">
      <c r="A691" s="42">
        <v>46883.0</v>
      </c>
      <c r="B691" s="41" t="str">
        <f t="shared" si="1"/>
        <v>水</v>
      </c>
      <c r="C691" s="41">
        <f>ROUNDUP((A691-'01_習慣設計'!$B$6+1)/7,0)</f>
        <v>98</v>
      </c>
      <c r="D691" s="41">
        <f>(YEAR(A691)-YEAR('01_習慣設計'!$B$6))*12+MONTH(A691)-MONTH('01_習慣設計'!$B$6)+1</f>
        <v>23</v>
      </c>
      <c r="E691" s="12"/>
      <c r="F691" s="3"/>
      <c r="G691" s="3"/>
      <c r="H691" s="41">
        <f t="shared" si="2"/>
        <v>0</v>
      </c>
    </row>
    <row r="692" ht="21.75" customHeight="1">
      <c r="A692" s="42">
        <v>46884.0</v>
      </c>
      <c r="B692" s="41" t="str">
        <f t="shared" si="1"/>
        <v>木</v>
      </c>
      <c r="C692" s="41">
        <f>ROUNDUP((A692-'01_習慣設計'!$B$6+1)/7,0)</f>
        <v>98</v>
      </c>
      <c r="D692" s="41">
        <f>(YEAR(A692)-YEAR('01_習慣設計'!$B$6))*12+MONTH(A692)-MONTH('01_習慣設計'!$B$6)+1</f>
        <v>23</v>
      </c>
      <c r="E692" s="12"/>
      <c r="F692" s="3"/>
      <c r="G692" s="3"/>
      <c r="H692" s="41">
        <f t="shared" si="2"/>
        <v>0</v>
      </c>
    </row>
    <row r="693" ht="21.75" customHeight="1">
      <c r="A693" s="42">
        <v>46885.0</v>
      </c>
      <c r="B693" s="41" t="str">
        <f t="shared" si="1"/>
        <v>金</v>
      </c>
      <c r="C693" s="41">
        <f>ROUNDUP((A693-'01_習慣設計'!$B$6+1)/7,0)</f>
        <v>98</v>
      </c>
      <c r="D693" s="41">
        <f>(YEAR(A693)-YEAR('01_習慣設計'!$B$6))*12+MONTH(A693)-MONTH('01_習慣設計'!$B$6)+1</f>
        <v>23</v>
      </c>
      <c r="E693" s="12"/>
      <c r="F693" s="3"/>
      <c r="G693" s="3"/>
      <c r="H693" s="41">
        <f t="shared" si="2"/>
        <v>0</v>
      </c>
    </row>
    <row r="694" ht="21.75" customHeight="1">
      <c r="A694" s="42">
        <v>46886.0</v>
      </c>
      <c r="B694" s="41" t="str">
        <f t="shared" si="1"/>
        <v>土</v>
      </c>
      <c r="C694" s="41">
        <f>ROUNDUP((A694-'01_習慣設計'!$B$6+1)/7,0)</f>
        <v>98</v>
      </c>
      <c r="D694" s="41">
        <f>(YEAR(A694)-YEAR('01_習慣設計'!$B$6))*12+MONTH(A694)-MONTH('01_習慣設計'!$B$6)+1</f>
        <v>23</v>
      </c>
      <c r="E694" s="12"/>
      <c r="F694" s="3"/>
      <c r="G694" s="3"/>
      <c r="H694" s="41">
        <f t="shared" si="2"/>
        <v>0</v>
      </c>
    </row>
    <row r="695" ht="21.75" customHeight="1">
      <c r="A695" s="42">
        <v>46887.0</v>
      </c>
      <c r="B695" s="41" t="str">
        <f t="shared" si="1"/>
        <v>日</v>
      </c>
      <c r="C695" s="41">
        <f>ROUNDUP((A695-'01_習慣設計'!$B$6+1)/7,0)</f>
        <v>98</v>
      </c>
      <c r="D695" s="41">
        <f>(YEAR(A695)-YEAR('01_習慣設計'!$B$6))*12+MONTH(A695)-MONTH('01_習慣設計'!$B$6)+1</f>
        <v>23</v>
      </c>
      <c r="E695" s="12"/>
      <c r="F695" s="3"/>
      <c r="G695" s="3"/>
      <c r="H695" s="41">
        <f t="shared" si="2"/>
        <v>0</v>
      </c>
    </row>
    <row r="696" ht="21.75" customHeight="1">
      <c r="A696" s="42">
        <v>46888.0</v>
      </c>
      <c r="B696" s="41" t="str">
        <f t="shared" si="1"/>
        <v>月</v>
      </c>
      <c r="C696" s="41">
        <f>ROUNDUP((A696-'01_習慣設計'!$B$6+1)/7,0)</f>
        <v>98</v>
      </c>
      <c r="D696" s="41">
        <f>(YEAR(A696)-YEAR('01_習慣設計'!$B$6))*12+MONTH(A696)-MONTH('01_習慣設計'!$B$6)+1</f>
        <v>23</v>
      </c>
      <c r="E696" s="12"/>
      <c r="F696" s="3"/>
      <c r="G696" s="3"/>
      <c r="H696" s="41">
        <f t="shared" si="2"/>
        <v>0</v>
      </c>
    </row>
    <row r="697" ht="21.75" customHeight="1">
      <c r="A697" s="42">
        <v>46889.0</v>
      </c>
      <c r="B697" s="41" t="str">
        <f t="shared" si="1"/>
        <v>火</v>
      </c>
      <c r="C697" s="41">
        <f>ROUNDUP((A697-'01_習慣設計'!$B$6+1)/7,0)</f>
        <v>98</v>
      </c>
      <c r="D697" s="41">
        <f>(YEAR(A697)-YEAR('01_習慣設計'!$B$6))*12+MONTH(A697)-MONTH('01_習慣設計'!$B$6)+1</f>
        <v>23</v>
      </c>
      <c r="E697" s="12"/>
      <c r="F697" s="3"/>
      <c r="G697" s="3"/>
      <c r="H697" s="41">
        <f t="shared" si="2"/>
        <v>0</v>
      </c>
    </row>
    <row r="698" ht="21.75" customHeight="1">
      <c r="A698" s="42">
        <v>46890.0</v>
      </c>
      <c r="B698" s="41" t="str">
        <f t="shared" si="1"/>
        <v>水</v>
      </c>
      <c r="C698" s="41">
        <f>ROUNDUP((A698-'01_習慣設計'!$B$6+1)/7,0)</f>
        <v>99</v>
      </c>
      <c r="D698" s="41">
        <f>(YEAR(A698)-YEAR('01_習慣設計'!$B$6))*12+MONTH(A698)-MONTH('01_習慣設計'!$B$6)+1</f>
        <v>23</v>
      </c>
      <c r="E698" s="12"/>
      <c r="F698" s="3"/>
      <c r="G698" s="3"/>
      <c r="H698" s="41">
        <f t="shared" si="2"/>
        <v>0</v>
      </c>
    </row>
    <row r="699" ht="21.75" customHeight="1">
      <c r="A699" s="42">
        <v>46891.0</v>
      </c>
      <c r="B699" s="41" t="str">
        <f t="shared" si="1"/>
        <v>木</v>
      </c>
      <c r="C699" s="41">
        <f>ROUNDUP((A699-'01_習慣設計'!$B$6+1)/7,0)</f>
        <v>99</v>
      </c>
      <c r="D699" s="41">
        <f>(YEAR(A699)-YEAR('01_習慣設計'!$B$6))*12+MONTH(A699)-MONTH('01_習慣設計'!$B$6)+1</f>
        <v>23</v>
      </c>
      <c r="E699" s="12"/>
      <c r="F699" s="3"/>
      <c r="G699" s="3"/>
      <c r="H699" s="41">
        <f t="shared" si="2"/>
        <v>0</v>
      </c>
    </row>
    <row r="700" ht="21.75" customHeight="1">
      <c r="A700" s="42">
        <v>46892.0</v>
      </c>
      <c r="B700" s="41" t="str">
        <f t="shared" si="1"/>
        <v>金</v>
      </c>
      <c r="C700" s="41">
        <f>ROUNDUP((A700-'01_習慣設計'!$B$6+1)/7,0)</f>
        <v>99</v>
      </c>
      <c r="D700" s="41">
        <f>(YEAR(A700)-YEAR('01_習慣設計'!$B$6))*12+MONTH(A700)-MONTH('01_習慣設計'!$B$6)+1</f>
        <v>23</v>
      </c>
      <c r="E700" s="12"/>
      <c r="F700" s="3"/>
      <c r="G700" s="3"/>
      <c r="H700" s="41">
        <f t="shared" si="2"/>
        <v>0</v>
      </c>
    </row>
    <row r="701" ht="21.75" customHeight="1">
      <c r="A701" s="42">
        <v>46893.0</v>
      </c>
      <c r="B701" s="41" t="str">
        <f t="shared" si="1"/>
        <v>土</v>
      </c>
      <c r="C701" s="41">
        <f>ROUNDUP((A701-'01_習慣設計'!$B$6+1)/7,0)</f>
        <v>99</v>
      </c>
      <c r="D701" s="41">
        <f>(YEAR(A701)-YEAR('01_習慣設計'!$B$6))*12+MONTH(A701)-MONTH('01_習慣設計'!$B$6)+1</f>
        <v>23</v>
      </c>
      <c r="E701" s="12"/>
      <c r="F701" s="3"/>
      <c r="G701" s="3"/>
      <c r="H701" s="41">
        <f t="shared" si="2"/>
        <v>0</v>
      </c>
    </row>
    <row r="702" ht="21.75" customHeight="1">
      <c r="A702" s="42">
        <v>46894.0</v>
      </c>
      <c r="B702" s="41" t="str">
        <f t="shared" si="1"/>
        <v>日</v>
      </c>
      <c r="C702" s="41">
        <f>ROUNDUP((A702-'01_習慣設計'!$B$6+1)/7,0)</f>
        <v>99</v>
      </c>
      <c r="D702" s="41">
        <f>(YEAR(A702)-YEAR('01_習慣設計'!$B$6))*12+MONTH(A702)-MONTH('01_習慣設計'!$B$6)+1</f>
        <v>23</v>
      </c>
      <c r="E702" s="12"/>
      <c r="F702" s="3"/>
      <c r="G702" s="3"/>
      <c r="H702" s="41">
        <f t="shared" si="2"/>
        <v>0</v>
      </c>
    </row>
    <row r="703" ht="21.75" customHeight="1">
      <c r="A703" s="42">
        <v>46895.0</v>
      </c>
      <c r="B703" s="41" t="str">
        <f t="shared" si="1"/>
        <v>月</v>
      </c>
      <c r="C703" s="41">
        <f>ROUNDUP((A703-'01_習慣設計'!$B$6+1)/7,0)</f>
        <v>99</v>
      </c>
      <c r="D703" s="41">
        <f>(YEAR(A703)-YEAR('01_習慣設計'!$B$6))*12+MONTH(A703)-MONTH('01_習慣設計'!$B$6)+1</f>
        <v>23</v>
      </c>
      <c r="E703" s="12"/>
      <c r="F703" s="3"/>
      <c r="G703" s="3"/>
      <c r="H703" s="41">
        <f t="shared" si="2"/>
        <v>0</v>
      </c>
    </row>
    <row r="704" ht="21.75" customHeight="1">
      <c r="A704" s="42">
        <v>46896.0</v>
      </c>
      <c r="B704" s="41" t="str">
        <f t="shared" si="1"/>
        <v>火</v>
      </c>
      <c r="C704" s="41">
        <f>ROUNDUP((A704-'01_習慣設計'!$B$6+1)/7,0)</f>
        <v>99</v>
      </c>
      <c r="D704" s="41">
        <f>(YEAR(A704)-YEAR('01_習慣設計'!$B$6))*12+MONTH(A704)-MONTH('01_習慣設計'!$B$6)+1</f>
        <v>23</v>
      </c>
      <c r="E704" s="12"/>
      <c r="F704" s="3"/>
      <c r="G704" s="3"/>
      <c r="H704" s="41">
        <f t="shared" si="2"/>
        <v>0</v>
      </c>
    </row>
    <row r="705" ht="21.75" customHeight="1">
      <c r="A705" s="42">
        <v>46897.0</v>
      </c>
      <c r="B705" s="41" t="str">
        <f t="shared" si="1"/>
        <v>水</v>
      </c>
      <c r="C705" s="41">
        <f>ROUNDUP((A705-'01_習慣設計'!$B$6+1)/7,0)</f>
        <v>100</v>
      </c>
      <c r="D705" s="41">
        <f>(YEAR(A705)-YEAR('01_習慣設計'!$B$6))*12+MONTH(A705)-MONTH('01_習慣設計'!$B$6)+1</f>
        <v>23</v>
      </c>
      <c r="E705" s="12"/>
      <c r="F705" s="3"/>
      <c r="G705" s="3"/>
      <c r="H705" s="41">
        <f t="shared" si="2"/>
        <v>0</v>
      </c>
    </row>
    <row r="706" ht="21.75" customHeight="1">
      <c r="A706" s="42">
        <v>46898.0</v>
      </c>
      <c r="B706" s="41" t="str">
        <f t="shared" si="1"/>
        <v>木</v>
      </c>
      <c r="C706" s="41">
        <f>ROUNDUP((A706-'01_習慣設計'!$B$6+1)/7,0)</f>
        <v>100</v>
      </c>
      <c r="D706" s="41">
        <f>(YEAR(A706)-YEAR('01_習慣設計'!$B$6))*12+MONTH(A706)-MONTH('01_習慣設計'!$B$6)+1</f>
        <v>23</v>
      </c>
      <c r="E706" s="12"/>
      <c r="F706" s="3"/>
      <c r="G706" s="3"/>
      <c r="H706" s="41">
        <f t="shared" si="2"/>
        <v>0</v>
      </c>
    </row>
    <row r="707" ht="21.75" customHeight="1">
      <c r="A707" s="42">
        <v>46899.0</v>
      </c>
      <c r="B707" s="41" t="str">
        <f t="shared" si="1"/>
        <v>金</v>
      </c>
      <c r="C707" s="41">
        <f>ROUNDUP((A707-'01_習慣設計'!$B$6+1)/7,0)</f>
        <v>100</v>
      </c>
      <c r="D707" s="41">
        <f>(YEAR(A707)-YEAR('01_習慣設計'!$B$6))*12+MONTH(A707)-MONTH('01_習慣設計'!$B$6)+1</f>
        <v>23</v>
      </c>
      <c r="E707" s="12"/>
      <c r="F707" s="3"/>
      <c r="G707" s="3"/>
      <c r="H707" s="41">
        <f t="shared" si="2"/>
        <v>0</v>
      </c>
    </row>
    <row r="708" ht="21.75" customHeight="1">
      <c r="A708" s="42">
        <v>46900.0</v>
      </c>
      <c r="B708" s="41" t="str">
        <f t="shared" si="1"/>
        <v>土</v>
      </c>
      <c r="C708" s="41">
        <f>ROUNDUP((A708-'01_習慣設計'!$B$6+1)/7,0)</f>
        <v>100</v>
      </c>
      <c r="D708" s="41">
        <f>(YEAR(A708)-YEAR('01_習慣設計'!$B$6))*12+MONTH(A708)-MONTH('01_習慣設計'!$B$6)+1</f>
        <v>23</v>
      </c>
      <c r="E708" s="12"/>
      <c r="F708" s="3"/>
      <c r="G708" s="3"/>
      <c r="H708" s="41">
        <f t="shared" si="2"/>
        <v>0</v>
      </c>
    </row>
    <row r="709" ht="21.75" customHeight="1">
      <c r="A709" s="42">
        <v>46901.0</v>
      </c>
      <c r="B709" s="41" t="str">
        <f t="shared" si="1"/>
        <v>日</v>
      </c>
      <c r="C709" s="41">
        <f>ROUNDUP((A709-'01_習慣設計'!$B$6+1)/7,0)</f>
        <v>100</v>
      </c>
      <c r="D709" s="41">
        <f>(YEAR(A709)-YEAR('01_習慣設計'!$B$6))*12+MONTH(A709)-MONTH('01_習慣設計'!$B$6)+1</f>
        <v>23</v>
      </c>
      <c r="E709" s="12"/>
      <c r="F709" s="3"/>
      <c r="G709" s="3"/>
      <c r="H709" s="41">
        <f t="shared" si="2"/>
        <v>0</v>
      </c>
    </row>
    <row r="710" ht="21.75" customHeight="1">
      <c r="A710" s="42">
        <v>46902.0</v>
      </c>
      <c r="B710" s="41" t="str">
        <f t="shared" si="1"/>
        <v>月</v>
      </c>
      <c r="C710" s="41">
        <f>ROUNDUP((A710-'01_習慣設計'!$B$6+1)/7,0)</f>
        <v>100</v>
      </c>
      <c r="D710" s="41">
        <f>(YEAR(A710)-YEAR('01_習慣設計'!$B$6))*12+MONTH(A710)-MONTH('01_習慣設計'!$B$6)+1</f>
        <v>23</v>
      </c>
      <c r="E710" s="12"/>
      <c r="F710" s="3"/>
      <c r="G710" s="3"/>
      <c r="H710" s="41">
        <f t="shared" si="2"/>
        <v>0</v>
      </c>
    </row>
    <row r="711" ht="21.75" customHeight="1">
      <c r="A711" s="42">
        <v>46903.0</v>
      </c>
      <c r="B711" s="41" t="str">
        <f t="shared" si="1"/>
        <v>火</v>
      </c>
      <c r="C711" s="41">
        <f>ROUNDUP((A711-'01_習慣設計'!$B$6+1)/7,0)</f>
        <v>100</v>
      </c>
      <c r="D711" s="41">
        <f>(YEAR(A711)-YEAR('01_習慣設計'!$B$6))*12+MONTH(A711)-MONTH('01_習慣設計'!$B$6)+1</f>
        <v>23</v>
      </c>
      <c r="E711" s="12"/>
      <c r="F711" s="3"/>
      <c r="G711" s="3"/>
      <c r="H711" s="41">
        <f t="shared" si="2"/>
        <v>0</v>
      </c>
    </row>
    <row r="712" ht="21.75" customHeight="1">
      <c r="A712" s="42">
        <v>46904.0</v>
      </c>
      <c r="B712" s="41" t="str">
        <f t="shared" si="1"/>
        <v>水</v>
      </c>
      <c r="C712" s="41">
        <f>ROUNDUP((A712-'01_習慣設計'!$B$6+1)/7,0)</f>
        <v>101</v>
      </c>
      <c r="D712" s="41">
        <f>(YEAR(A712)-YEAR('01_習慣設計'!$B$6))*12+MONTH(A712)-MONTH('01_習慣設計'!$B$6)+1</f>
        <v>23</v>
      </c>
      <c r="E712" s="12"/>
      <c r="F712" s="3"/>
      <c r="G712" s="3"/>
      <c r="H712" s="41">
        <f t="shared" si="2"/>
        <v>0</v>
      </c>
    </row>
    <row r="713" ht="21.75" customHeight="1">
      <c r="A713" s="42">
        <v>46905.0</v>
      </c>
      <c r="B713" s="41" t="str">
        <f t="shared" si="1"/>
        <v>木</v>
      </c>
      <c r="C713" s="41">
        <f>ROUNDUP((A713-'01_習慣設計'!$B$6+1)/7,0)</f>
        <v>101</v>
      </c>
      <c r="D713" s="41">
        <f>(YEAR(A713)-YEAR('01_習慣設計'!$B$6))*12+MONTH(A713)-MONTH('01_習慣設計'!$B$6)+1</f>
        <v>24</v>
      </c>
      <c r="E713" s="12"/>
      <c r="F713" s="3"/>
      <c r="G713" s="3"/>
      <c r="H713" s="41">
        <f t="shared" si="2"/>
        <v>0</v>
      </c>
    </row>
    <row r="714" ht="21.75" customHeight="1">
      <c r="A714" s="42">
        <v>46906.0</v>
      </c>
      <c r="B714" s="41" t="str">
        <f t="shared" si="1"/>
        <v>金</v>
      </c>
      <c r="C714" s="41">
        <f>ROUNDUP((A714-'01_習慣設計'!$B$6+1)/7,0)</f>
        <v>101</v>
      </c>
      <c r="D714" s="41">
        <f>(YEAR(A714)-YEAR('01_習慣設計'!$B$6))*12+MONTH(A714)-MONTH('01_習慣設計'!$B$6)+1</f>
        <v>24</v>
      </c>
      <c r="E714" s="12"/>
      <c r="F714" s="3"/>
      <c r="G714" s="3"/>
      <c r="H714" s="41">
        <f t="shared" si="2"/>
        <v>0</v>
      </c>
    </row>
    <row r="715" ht="21.75" customHeight="1">
      <c r="A715" s="42">
        <v>46907.0</v>
      </c>
      <c r="B715" s="41" t="str">
        <f t="shared" si="1"/>
        <v>土</v>
      </c>
      <c r="C715" s="41">
        <f>ROUNDUP((A715-'01_習慣設計'!$B$6+1)/7,0)</f>
        <v>101</v>
      </c>
      <c r="D715" s="41">
        <f>(YEAR(A715)-YEAR('01_習慣設計'!$B$6))*12+MONTH(A715)-MONTH('01_習慣設計'!$B$6)+1</f>
        <v>24</v>
      </c>
      <c r="E715" s="12"/>
      <c r="F715" s="3"/>
      <c r="G715" s="3"/>
      <c r="H715" s="41">
        <f t="shared" si="2"/>
        <v>0</v>
      </c>
    </row>
    <row r="716" ht="21.75" customHeight="1">
      <c r="A716" s="42">
        <v>46908.0</v>
      </c>
      <c r="B716" s="41" t="str">
        <f t="shared" si="1"/>
        <v>日</v>
      </c>
      <c r="C716" s="41">
        <f>ROUNDUP((A716-'01_習慣設計'!$B$6+1)/7,0)</f>
        <v>101</v>
      </c>
      <c r="D716" s="41">
        <f>(YEAR(A716)-YEAR('01_習慣設計'!$B$6))*12+MONTH(A716)-MONTH('01_習慣設計'!$B$6)+1</f>
        <v>24</v>
      </c>
      <c r="E716" s="12"/>
      <c r="F716" s="3"/>
      <c r="G716" s="3"/>
      <c r="H716" s="41">
        <f t="shared" si="2"/>
        <v>0</v>
      </c>
    </row>
    <row r="717" ht="21.75" customHeight="1">
      <c r="A717" s="42">
        <v>46909.0</v>
      </c>
      <c r="B717" s="41" t="str">
        <f t="shared" si="1"/>
        <v>月</v>
      </c>
      <c r="C717" s="41">
        <f>ROUNDUP((A717-'01_習慣設計'!$B$6+1)/7,0)</f>
        <v>101</v>
      </c>
      <c r="D717" s="41">
        <f>(YEAR(A717)-YEAR('01_習慣設計'!$B$6))*12+MONTH(A717)-MONTH('01_習慣設計'!$B$6)+1</f>
        <v>24</v>
      </c>
      <c r="E717" s="12"/>
      <c r="F717" s="3"/>
      <c r="G717" s="3"/>
      <c r="H717" s="41">
        <f t="shared" si="2"/>
        <v>0</v>
      </c>
    </row>
    <row r="718" ht="21.75" customHeight="1">
      <c r="A718" s="42">
        <v>46910.0</v>
      </c>
      <c r="B718" s="41" t="str">
        <f t="shared" si="1"/>
        <v>火</v>
      </c>
      <c r="C718" s="41">
        <f>ROUNDUP((A718-'01_習慣設計'!$B$6+1)/7,0)</f>
        <v>101</v>
      </c>
      <c r="D718" s="41">
        <f>(YEAR(A718)-YEAR('01_習慣設計'!$B$6))*12+MONTH(A718)-MONTH('01_習慣設計'!$B$6)+1</f>
        <v>24</v>
      </c>
      <c r="E718" s="12"/>
      <c r="F718" s="3"/>
      <c r="G718" s="3"/>
      <c r="H718" s="41">
        <f t="shared" si="2"/>
        <v>0</v>
      </c>
    </row>
    <row r="719" ht="21.75" customHeight="1">
      <c r="A719" s="42">
        <v>46911.0</v>
      </c>
      <c r="B719" s="41" t="str">
        <f t="shared" si="1"/>
        <v>水</v>
      </c>
      <c r="C719" s="41">
        <f>ROUNDUP((A719-'01_習慣設計'!$B$6+1)/7,0)</f>
        <v>102</v>
      </c>
      <c r="D719" s="41">
        <f>(YEAR(A719)-YEAR('01_習慣設計'!$B$6))*12+MONTH(A719)-MONTH('01_習慣設計'!$B$6)+1</f>
        <v>24</v>
      </c>
      <c r="E719" s="12"/>
      <c r="F719" s="3"/>
      <c r="G719" s="3"/>
      <c r="H719" s="41">
        <f t="shared" si="2"/>
        <v>0</v>
      </c>
    </row>
    <row r="720" ht="21.75" customHeight="1">
      <c r="A720" s="42">
        <v>46912.0</v>
      </c>
      <c r="B720" s="41" t="str">
        <f t="shared" si="1"/>
        <v>木</v>
      </c>
      <c r="C720" s="41">
        <f>ROUNDUP((A720-'01_習慣設計'!$B$6+1)/7,0)</f>
        <v>102</v>
      </c>
      <c r="D720" s="41">
        <f>(YEAR(A720)-YEAR('01_習慣設計'!$B$6))*12+MONTH(A720)-MONTH('01_習慣設計'!$B$6)+1</f>
        <v>24</v>
      </c>
      <c r="E720" s="12"/>
      <c r="F720" s="3"/>
      <c r="G720" s="3"/>
      <c r="H720" s="41">
        <f t="shared" si="2"/>
        <v>0</v>
      </c>
    </row>
    <row r="721" ht="21.75" customHeight="1">
      <c r="A721" s="42">
        <v>46913.0</v>
      </c>
      <c r="B721" s="41" t="str">
        <f t="shared" si="1"/>
        <v>金</v>
      </c>
      <c r="C721" s="41">
        <f>ROUNDUP((A721-'01_習慣設計'!$B$6+1)/7,0)</f>
        <v>102</v>
      </c>
      <c r="D721" s="41">
        <f>(YEAR(A721)-YEAR('01_習慣設計'!$B$6))*12+MONTH(A721)-MONTH('01_習慣設計'!$B$6)+1</f>
        <v>24</v>
      </c>
      <c r="E721" s="12"/>
      <c r="F721" s="3"/>
      <c r="G721" s="3"/>
      <c r="H721" s="41">
        <f t="shared" si="2"/>
        <v>0</v>
      </c>
    </row>
    <row r="722" ht="21.75" customHeight="1">
      <c r="A722" s="42">
        <v>46914.0</v>
      </c>
      <c r="B722" s="41" t="str">
        <f t="shared" si="1"/>
        <v>土</v>
      </c>
      <c r="C722" s="41">
        <f>ROUNDUP((A722-'01_習慣設計'!$B$6+1)/7,0)</f>
        <v>102</v>
      </c>
      <c r="D722" s="41">
        <f>(YEAR(A722)-YEAR('01_習慣設計'!$B$6))*12+MONTH(A722)-MONTH('01_習慣設計'!$B$6)+1</f>
        <v>24</v>
      </c>
      <c r="E722" s="12"/>
      <c r="F722" s="3"/>
      <c r="G722" s="3"/>
      <c r="H722" s="41">
        <f t="shared" si="2"/>
        <v>0</v>
      </c>
    </row>
    <row r="723" ht="21.75" customHeight="1">
      <c r="A723" s="42">
        <v>46915.0</v>
      </c>
      <c r="B723" s="41" t="str">
        <f t="shared" si="1"/>
        <v>日</v>
      </c>
      <c r="C723" s="41">
        <f>ROUNDUP((A723-'01_習慣設計'!$B$6+1)/7,0)</f>
        <v>102</v>
      </c>
      <c r="D723" s="41">
        <f>(YEAR(A723)-YEAR('01_習慣設計'!$B$6))*12+MONTH(A723)-MONTH('01_習慣設計'!$B$6)+1</f>
        <v>24</v>
      </c>
      <c r="E723" s="12"/>
      <c r="F723" s="3"/>
      <c r="G723" s="3"/>
      <c r="H723" s="41">
        <f t="shared" si="2"/>
        <v>0</v>
      </c>
    </row>
    <row r="724" ht="21.75" customHeight="1">
      <c r="A724" s="42">
        <v>46916.0</v>
      </c>
      <c r="B724" s="41" t="str">
        <f t="shared" si="1"/>
        <v>月</v>
      </c>
      <c r="C724" s="41">
        <f>ROUNDUP((A724-'01_習慣設計'!$B$6+1)/7,0)</f>
        <v>102</v>
      </c>
      <c r="D724" s="41">
        <f>(YEAR(A724)-YEAR('01_習慣設計'!$B$6))*12+MONTH(A724)-MONTH('01_習慣設計'!$B$6)+1</f>
        <v>24</v>
      </c>
      <c r="E724" s="12"/>
      <c r="F724" s="3"/>
      <c r="G724" s="3"/>
      <c r="H724" s="41">
        <f t="shared" si="2"/>
        <v>0</v>
      </c>
    </row>
    <row r="725" ht="21.75" customHeight="1">
      <c r="A725" s="42">
        <v>46917.0</v>
      </c>
      <c r="B725" s="41" t="str">
        <f t="shared" si="1"/>
        <v>火</v>
      </c>
      <c r="C725" s="41">
        <f>ROUNDUP((A725-'01_習慣設計'!$B$6+1)/7,0)</f>
        <v>102</v>
      </c>
      <c r="D725" s="41">
        <f>(YEAR(A725)-YEAR('01_習慣設計'!$B$6))*12+MONTH(A725)-MONTH('01_習慣設計'!$B$6)+1</f>
        <v>24</v>
      </c>
      <c r="E725" s="12"/>
      <c r="F725" s="3"/>
      <c r="G725" s="3"/>
      <c r="H725" s="41">
        <f t="shared" si="2"/>
        <v>0</v>
      </c>
    </row>
    <row r="726" ht="21.75" customHeight="1">
      <c r="A726" s="42">
        <v>46918.0</v>
      </c>
      <c r="B726" s="41" t="str">
        <f t="shared" si="1"/>
        <v>水</v>
      </c>
      <c r="C726" s="41">
        <f>ROUNDUP((A726-'01_習慣設計'!$B$6+1)/7,0)</f>
        <v>103</v>
      </c>
      <c r="D726" s="41">
        <f>(YEAR(A726)-YEAR('01_習慣設計'!$B$6))*12+MONTH(A726)-MONTH('01_習慣設計'!$B$6)+1</f>
        <v>24</v>
      </c>
      <c r="E726" s="12"/>
      <c r="F726" s="3"/>
      <c r="G726" s="3"/>
      <c r="H726" s="41">
        <f t="shared" si="2"/>
        <v>0</v>
      </c>
    </row>
    <row r="727" ht="21.75" customHeight="1">
      <c r="A727" s="42">
        <v>46919.0</v>
      </c>
      <c r="B727" s="41" t="str">
        <f t="shared" si="1"/>
        <v>木</v>
      </c>
      <c r="C727" s="41">
        <f>ROUNDUP((A727-'01_習慣設計'!$B$6+1)/7,0)</f>
        <v>103</v>
      </c>
      <c r="D727" s="41">
        <f>(YEAR(A727)-YEAR('01_習慣設計'!$B$6))*12+MONTH(A727)-MONTH('01_習慣設計'!$B$6)+1</f>
        <v>24</v>
      </c>
      <c r="E727" s="12"/>
      <c r="F727" s="3"/>
      <c r="G727" s="3"/>
      <c r="H727" s="41">
        <f t="shared" si="2"/>
        <v>0</v>
      </c>
    </row>
    <row r="728" ht="21.75" customHeight="1">
      <c r="A728" s="42">
        <v>46920.0</v>
      </c>
      <c r="B728" s="41" t="str">
        <f t="shared" si="1"/>
        <v>金</v>
      </c>
      <c r="C728" s="41">
        <f>ROUNDUP((A728-'01_習慣設計'!$B$6+1)/7,0)</f>
        <v>103</v>
      </c>
      <c r="D728" s="41">
        <f>(YEAR(A728)-YEAR('01_習慣設計'!$B$6))*12+MONTH(A728)-MONTH('01_習慣設計'!$B$6)+1</f>
        <v>24</v>
      </c>
      <c r="E728" s="12"/>
      <c r="F728" s="3"/>
      <c r="G728" s="3"/>
      <c r="H728" s="41">
        <f t="shared" si="2"/>
        <v>0</v>
      </c>
    </row>
    <row r="729" ht="21.75" customHeight="1">
      <c r="A729" s="42">
        <v>46921.0</v>
      </c>
      <c r="B729" s="41" t="str">
        <f t="shared" si="1"/>
        <v>土</v>
      </c>
      <c r="C729" s="41">
        <f>ROUNDUP((A729-'01_習慣設計'!$B$6+1)/7,0)</f>
        <v>103</v>
      </c>
      <c r="D729" s="41">
        <f>(YEAR(A729)-YEAR('01_習慣設計'!$B$6))*12+MONTH(A729)-MONTH('01_習慣設計'!$B$6)+1</f>
        <v>24</v>
      </c>
      <c r="E729" s="12"/>
      <c r="F729" s="3"/>
      <c r="G729" s="3"/>
      <c r="H729" s="41">
        <f t="shared" si="2"/>
        <v>0</v>
      </c>
    </row>
    <row r="730" ht="21.75" customHeight="1">
      <c r="A730" s="42">
        <v>46922.0</v>
      </c>
      <c r="B730" s="41" t="str">
        <f t="shared" si="1"/>
        <v>日</v>
      </c>
      <c r="C730" s="41">
        <f>ROUNDUP((A730-'01_習慣設計'!$B$6+1)/7,0)</f>
        <v>103</v>
      </c>
      <c r="D730" s="41">
        <f>(YEAR(A730)-YEAR('01_習慣設計'!$B$6))*12+MONTH(A730)-MONTH('01_習慣設計'!$B$6)+1</f>
        <v>24</v>
      </c>
      <c r="E730" s="12"/>
      <c r="F730" s="3"/>
      <c r="G730" s="3"/>
      <c r="H730" s="41">
        <f t="shared" si="2"/>
        <v>0</v>
      </c>
    </row>
    <row r="731" ht="21.75" customHeight="1">
      <c r="A731" s="42">
        <v>46923.0</v>
      </c>
      <c r="B731" s="41" t="str">
        <f t="shared" si="1"/>
        <v>月</v>
      </c>
      <c r="C731" s="41">
        <f>ROUNDUP((A731-'01_習慣設計'!$B$6+1)/7,0)</f>
        <v>103</v>
      </c>
      <c r="D731" s="41">
        <f>(YEAR(A731)-YEAR('01_習慣設計'!$B$6))*12+MONTH(A731)-MONTH('01_習慣設計'!$B$6)+1</f>
        <v>24</v>
      </c>
      <c r="E731" s="12"/>
      <c r="F731" s="3"/>
      <c r="G731" s="3"/>
      <c r="H731" s="41">
        <f t="shared" si="2"/>
        <v>0</v>
      </c>
    </row>
    <row r="732" ht="21.75" customHeight="1">
      <c r="A732" s="42">
        <v>46924.0</v>
      </c>
      <c r="B732" s="41" t="str">
        <f t="shared" si="1"/>
        <v>火</v>
      </c>
      <c r="C732" s="41">
        <f>ROUNDUP((A732-'01_習慣設計'!$B$6+1)/7,0)</f>
        <v>103</v>
      </c>
      <c r="D732" s="41">
        <f>(YEAR(A732)-YEAR('01_習慣設計'!$B$6))*12+MONTH(A732)-MONTH('01_習慣設計'!$B$6)+1</f>
        <v>24</v>
      </c>
      <c r="E732" s="12"/>
      <c r="F732" s="3"/>
      <c r="G732" s="3"/>
      <c r="H732" s="41">
        <f t="shared" si="2"/>
        <v>0</v>
      </c>
    </row>
    <row r="733" ht="21.75" customHeight="1">
      <c r="A733" s="42">
        <v>46925.0</v>
      </c>
      <c r="B733" s="41" t="str">
        <f t="shared" si="1"/>
        <v>水</v>
      </c>
      <c r="C733" s="41">
        <f>ROUNDUP((A733-'01_習慣設計'!$B$6+1)/7,0)</f>
        <v>104</v>
      </c>
      <c r="D733" s="41">
        <f>(YEAR(A733)-YEAR('01_習慣設計'!$B$6))*12+MONTH(A733)-MONTH('01_習慣設計'!$B$6)+1</f>
        <v>24</v>
      </c>
      <c r="E733" s="12"/>
      <c r="F733" s="3"/>
      <c r="G733" s="3"/>
      <c r="H733" s="41">
        <f t="shared" si="2"/>
        <v>0</v>
      </c>
    </row>
    <row r="734" ht="21.75" customHeight="1">
      <c r="A734" s="42">
        <v>46926.0</v>
      </c>
      <c r="B734" s="41" t="str">
        <f t="shared" si="1"/>
        <v>木</v>
      </c>
      <c r="C734" s="41">
        <f>ROUNDUP((A734-'01_習慣設計'!$B$6+1)/7,0)</f>
        <v>104</v>
      </c>
      <c r="D734" s="41">
        <f>(YEAR(A734)-YEAR('01_習慣設計'!$B$6))*12+MONTH(A734)-MONTH('01_習慣設計'!$B$6)+1</f>
        <v>24</v>
      </c>
      <c r="E734" s="12"/>
      <c r="F734" s="3"/>
      <c r="G734" s="3"/>
      <c r="H734" s="41">
        <f t="shared" si="2"/>
        <v>0</v>
      </c>
    </row>
    <row r="735" ht="21.75" customHeight="1">
      <c r="A735" s="42">
        <v>46927.0</v>
      </c>
      <c r="B735" s="41" t="str">
        <f t="shared" si="1"/>
        <v>金</v>
      </c>
      <c r="C735" s="41">
        <f>ROUNDUP((A735-'01_習慣設計'!$B$6+1)/7,0)</f>
        <v>104</v>
      </c>
      <c r="D735" s="41">
        <f>(YEAR(A735)-YEAR('01_習慣設計'!$B$6))*12+MONTH(A735)-MONTH('01_習慣設計'!$B$6)+1</f>
        <v>24</v>
      </c>
      <c r="E735" s="12"/>
      <c r="F735" s="3"/>
      <c r="G735" s="3"/>
      <c r="H735" s="41">
        <f t="shared" si="2"/>
        <v>0</v>
      </c>
    </row>
    <row r="736" ht="21.75" customHeight="1">
      <c r="A736" s="42">
        <v>46928.0</v>
      </c>
      <c r="B736" s="41" t="str">
        <f t="shared" si="1"/>
        <v>土</v>
      </c>
      <c r="C736" s="41">
        <f>ROUNDUP((A736-'01_習慣設計'!$B$6+1)/7,0)</f>
        <v>104</v>
      </c>
      <c r="D736" s="41">
        <f>(YEAR(A736)-YEAR('01_習慣設計'!$B$6))*12+MONTH(A736)-MONTH('01_習慣設計'!$B$6)+1</f>
        <v>24</v>
      </c>
      <c r="E736" s="12"/>
      <c r="F736" s="3"/>
      <c r="G736" s="3"/>
      <c r="H736" s="41">
        <f t="shared" si="2"/>
        <v>0</v>
      </c>
    </row>
    <row r="737" ht="21.75" customHeight="1">
      <c r="A737" s="42">
        <v>46929.0</v>
      </c>
      <c r="B737" s="41" t="str">
        <f t="shared" si="1"/>
        <v>日</v>
      </c>
      <c r="C737" s="41">
        <f>ROUNDUP((A737-'01_習慣設計'!$B$6+1)/7,0)</f>
        <v>104</v>
      </c>
      <c r="D737" s="41">
        <f>(YEAR(A737)-YEAR('01_習慣設計'!$B$6))*12+MONTH(A737)-MONTH('01_習慣設計'!$B$6)+1</f>
        <v>24</v>
      </c>
      <c r="E737" s="12"/>
      <c r="F737" s="3"/>
      <c r="G737" s="3"/>
      <c r="H737" s="41">
        <f t="shared" si="2"/>
        <v>0</v>
      </c>
    </row>
    <row r="738" ht="21.75" customHeight="1">
      <c r="A738" s="42">
        <v>46930.0</v>
      </c>
      <c r="B738" s="41" t="str">
        <f t="shared" si="1"/>
        <v>月</v>
      </c>
      <c r="C738" s="41">
        <f>ROUNDUP((A738-'01_習慣設計'!$B$6+1)/7,0)</f>
        <v>104</v>
      </c>
      <c r="D738" s="41">
        <f>(YEAR(A738)-YEAR('01_習慣設計'!$B$6))*12+MONTH(A738)-MONTH('01_習慣設計'!$B$6)+1</f>
        <v>24</v>
      </c>
      <c r="E738" s="12"/>
      <c r="F738" s="3"/>
      <c r="G738" s="3"/>
      <c r="H738" s="41">
        <f t="shared" si="2"/>
        <v>0</v>
      </c>
    </row>
    <row r="739" ht="21.75" customHeight="1">
      <c r="A739" s="42">
        <v>46931.0</v>
      </c>
      <c r="B739" s="41" t="str">
        <f t="shared" si="1"/>
        <v>火</v>
      </c>
      <c r="C739" s="41">
        <f>ROUNDUP((A739-'01_習慣設計'!$B$6+1)/7,0)</f>
        <v>104</v>
      </c>
      <c r="D739" s="41">
        <f>(YEAR(A739)-YEAR('01_習慣設計'!$B$6))*12+MONTH(A739)-MONTH('01_習慣設計'!$B$6)+1</f>
        <v>24</v>
      </c>
      <c r="E739" s="12"/>
      <c r="F739" s="3"/>
      <c r="G739" s="3"/>
      <c r="H739" s="41">
        <f t="shared" si="2"/>
        <v>0</v>
      </c>
    </row>
    <row r="740" ht="21.75" customHeight="1">
      <c r="A740" s="42">
        <v>46932.0</v>
      </c>
      <c r="B740" s="41" t="str">
        <f t="shared" si="1"/>
        <v>水</v>
      </c>
      <c r="C740" s="41">
        <f>ROUNDUP((A740-'01_習慣設計'!$B$6+1)/7,0)</f>
        <v>105</v>
      </c>
      <c r="D740" s="41">
        <f>(YEAR(A740)-YEAR('01_習慣設計'!$B$6))*12+MONTH(A740)-MONTH('01_習慣設計'!$B$6)+1</f>
        <v>24</v>
      </c>
      <c r="E740" s="12"/>
      <c r="F740" s="3"/>
      <c r="G740" s="3"/>
      <c r="H740" s="41">
        <f t="shared" si="2"/>
        <v>0</v>
      </c>
    </row>
    <row r="741" ht="21.75" customHeight="1">
      <c r="A741" s="42">
        <v>46933.0</v>
      </c>
      <c r="B741" s="41" t="str">
        <f t="shared" si="1"/>
        <v>木</v>
      </c>
      <c r="C741" s="41">
        <f>ROUNDUP((A741-'01_習慣設計'!$B$6+1)/7,0)</f>
        <v>105</v>
      </c>
      <c r="D741" s="41">
        <f>(YEAR(A741)-YEAR('01_習慣設計'!$B$6))*12+MONTH(A741)-MONTH('01_習慣設計'!$B$6)+1</f>
        <v>24</v>
      </c>
      <c r="E741" s="12"/>
      <c r="F741" s="3"/>
      <c r="G741" s="3"/>
      <c r="H741" s="41">
        <f t="shared" si="2"/>
        <v>0</v>
      </c>
    </row>
    <row r="742" ht="21.75" customHeight="1">
      <c r="A742" s="42">
        <v>46934.0</v>
      </c>
      <c r="B742" s="41" t="str">
        <f t="shared" si="1"/>
        <v>金</v>
      </c>
      <c r="C742" s="41">
        <f>ROUNDUP((A742-'01_習慣設計'!$B$6+1)/7,0)</f>
        <v>105</v>
      </c>
      <c r="D742" s="41">
        <f>(YEAR(A742)-YEAR('01_習慣設計'!$B$6))*12+MONTH(A742)-MONTH('01_習慣設計'!$B$6)+1</f>
        <v>24</v>
      </c>
      <c r="E742" s="12"/>
      <c r="F742" s="3"/>
      <c r="G742" s="3"/>
      <c r="H742" s="41">
        <f t="shared" si="2"/>
        <v>0</v>
      </c>
    </row>
    <row r="743" ht="15.75" customHeight="1">
      <c r="A743" s="4"/>
      <c r="B743" s="4"/>
      <c r="C743" s="4"/>
      <c r="D743" s="4"/>
      <c r="E743" s="4"/>
      <c r="F743" s="4"/>
      <c r="G743" s="4"/>
      <c r="H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</row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H1"/>
    <mergeCell ref="A2:H2"/>
    <mergeCell ref="A4:H4"/>
    <mergeCell ref="E8:G8"/>
  </mergeCells>
  <conditionalFormatting sqref="E12:E742">
    <cfRule type="cellIs" dxfId="7" priority="1" operator="greaterThan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3" width="24.0"/>
    <col customWidth="1" min="4" max="5" width="28.0"/>
    <col customWidth="1" min="6" max="6" width="34.0"/>
    <col customWidth="1" min="7" max="7" width="2.0"/>
    <col customWidth="1" min="8" max="11" width="16.0"/>
    <col customWidth="1" min="12" max="12" width="26.0"/>
    <col customWidth="1" min="13" max="14" width="18.0"/>
    <col customWidth="1" min="15" max="15" width="8.63"/>
    <col customWidth="1" min="16" max="17" width="12.0"/>
    <col customWidth="1" min="18" max="26" width="8.63"/>
  </cols>
  <sheetData>
    <row r="1" ht="31.5" customHeight="1">
      <c r="A1" s="43" t="s">
        <v>202</v>
      </c>
      <c r="G1" s="44"/>
      <c r="H1" s="44"/>
      <c r="I1" s="44"/>
      <c r="J1" s="44"/>
      <c r="K1" s="44"/>
    </row>
    <row r="2" ht="36.0" customHeight="1">
      <c r="A2" s="45" t="s">
        <v>203</v>
      </c>
      <c r="G2" s="44"/>
      <c r="H2" s="44"/>
      <c r="I2" s="44"/>
      <c r="J2" s="44"/>
      <c r="K2" s="44"/>
    </row>
    <row r="3" ht="36.0" customHeight="1">
      <c r="G3" s="44"/>
      <c r="H3" s="44"/>
      <c r="I3" s="44"/>
      <c r="J3" s="44"/>
      <c r="K3" s="44"/>
    </row>
    <row r="4" ht="24.0" customHeight="1">
      <c r="A4" s="44"/>
      <c r="B4" s="44"/>
      <c r="C4" s="44"/>
      <c r="D4" s="44"/>
      <c r="E4" s="44"/>
      <c r="F4" s="44"/>
      <c r="G4" s="44"/>
      <c r="H4" s="44"/>
      <c r="I4" s="44"/>
      <c r="J4" s="44"/>
      <c r="K4" s="44"/>
    </row>
    <row r="5" ht="24.0" customHeight="1">
      <c r="A5" s="46" t="s">
        <v>204</v>
      </c>
      <c r="G5" s="44"/>
      <c r="H5" s="44"/>
      <c r="I5" s="44"/>
      <c r="J5" s="44"/>
      <c r="K5" s="44"/>
    </row>
    <row r="6" ht="21.75" customHeight="1">
      <c r="A6" s="47" t="s">
        <v>205</v>
      </c>
      <c r="B6" s="47" t="s">
        <v>206</v>
      </c>
      <c r="C6" s="47" t="s">
        <v>207</v>
      </c>
      <c r="D6" s="44"/>
      <c r="E6" s="44"/>
      <c r="F6" s="44"/>
      <c r="G6" s="44"/>
      <c r="H6" s="44"/>
      <c r="I6" s="44"/>
      <c r="J6" s="44"/>
      <c r="K6" s="44"/>
    </row>
    <row r="7" ht="24.0" customHeight="1">
      <c r="A7" s="44" t="s">
        <v>208</v>
      </c>
      <c r="B7" s="44" t="s">
        <v>209</v>
      </c>
      <c r="C7" s="44" t="s">
        <v>210</v>
      </c>
      <c r="D7" s="44"/>
      <c r="E7" s="44"/>
      <c r="F7" s="44"/>
      <c r="G7" s="44"/>
      <c r="H7" s="44"/>
      <c r="I7" s="44"/>
      <c r="J7" s="44"/>
      <c r="K7" s="44"/>
    </row>
    <row r="8" ht="24.0" customHeight="1">
      <c r="A8" s="44" t="s">
        <v>211</v>
      </c>
      <c r="B8" s="44" t="s">
        <v>212</v>
      </c>
      <c r="C8" s="44" t="s">
        <v>213</v>
      </c>
      <c r="D8" s="44"/>
      <c r="E8" s="44"/>
      <c r="F8" s="44"/>
      <c r="G8" s="44"/>
      <c r="H8" s="44"/>
      <c r="I8" s="44"/>
      <c r="J8" s="44"/>
      <c r="K8" s="44"/>
    </row>
    <row r="9" ht="24.0" customHeight="1">
      <c r="A9" s="44" t="s">
        <v>214</v>
      </c>
      <c r="B9" s="44" t="s">
        <v>215</v>
      </c>
      <c r="C9" s="44" t="s">
        <v>216</v>
      </c>
      <c r="D9" s="44"/>
      <c r="E9" s="44"/>
      <c r="F9" s="44"/>
      <c r="G9" s="44"/>
      <c r="H9" s="44"/>
      <c r="I9" s="44"/>
      <c r="J9" s="44"/>
      <c r="K9" s="44"/>
    </row>
    <row r="10" ht="24.0" customHeight="1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</row>
    <row r="11" ht="24.0" customHeight="1">
      <c r="A11" s="46" t="s">
        <v>217</v>
      </c>
      <c r="G11" s="44"/>
      <c r="H11" s="44"/>
      <c r="I11" s="44"/>
      <c r="J11" s="44"/>
      <c r="K11" s="44"/>
    </row>
    <row r="12" ht="36.0" customHeight="1">
      <c r="A12" s="48" t="s">
        <v>218</v>
      </c>
      <c r="G12" s="44"/>
      <c r="H12" s="44"/>
      <c r="I12" s="44"/>
      <c r="J12" s="44"/>
      <c r="K12" s="44"/>
    </row>
    <row r="13" ht="24.0" customHeight="1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</row>
    <row r="14" ht="75.75" customHeight="1">
      <c r="A14" s="47"/>
      <c r="B14" s="47" t="s">
        <v>219</v>
      </c>
      <c r="C14" s="47" t="s">
        <v>220</v>
      </c>
      <c r="D14" s="44"/>
      <c r="E14" s="44"/>
      <c r="F14" s="44"/>
      <c r="G14" s="44"/>
      <c r="H14" s="44"/>
      <c r="I14" s="44"/>
      <c r="J14" s="44"/>
      <c r="K14" s="44"/>
    </row>
    <row r="15" ht="75.75" customHeight="1">
      <c r="A15" s="49" t="s">
        <v>221</v>
      </c>
      <c r="B15" s="50" t="s">
        <v>222</v>
      </c>
      <c r="C15" s="51" t="s">
        <v>223</v>
      </c>
      <c r="D15" s="44"/>
      <c r="E15" s="44"/>
      <c r="F15" s="44"/>
      <c r="G15" s="44"/>
      <c r="H15" s="44"/>
      <c r="I15" s="44"/>
      <c r="J15" s="44"/>
      <c r="K15" s="44"/>
    </row>
    <row r="16" ht="75.75" customHeight="1">
      <c r="A16" s="49" t="s">
        <v>224</v>
      </c>
      <c r="B16" s="52" t="s">
        <v>225</v>
      </c>
      <c r="C16" s="53" t="s">
        <v>226</v>
      </c>
      <c r="D16" s="44"/>
      <c r="E16" s="44"/>
      <c r="F16" s="44"/>
      <c r="G16" s="44"/>
      <c r="H16" s="44"/>
      <c r="I16" s="44"/>
      <c r="J16" s="44"/>
      <c r="K16" s="44"/>
    </row>
    <row r="17" ht="24.0" customHeight="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</row>
    <row r="18" ht="24.0" customHeight="1">
      <c r="A18" s="46" t="s">
        <v>227</v>
      </c>
      <c r="G18" s="44"/>
      <c r="H18" s="44"/>
      <c r="I18" s="44"/>
      <c r="J18" s="44"/>
      <c r="K18" s="44"/>
    </row>
    <row r="19" ht="21.75" customHeight="1">
      <c r="A19" s="47" t="s">
        <v>228</v>
      </c>
      <c r="B19" s="47" t="s">
        <v>229</v>
      </c>
      <c r="C19" s="47" t="s">
        <v>230</v>
      </c>
      <c r="D19" s="47" t="s">
        <v>231</v>
      </c>
      <c r="E19" s="47" t="s">
        <v>232</v>
      </c>
      <c r="F19" s="47" t="s">
        <v>233</v>
      </c>
      <c r="G19" s="44"/>
      <c r="H19" s="44"/>
      <c r="I19" s="44"/>
      <c r="J19" s="44"/>
      <c r="K19" s="44"/>
    </row>
    <row r="20" ht="31.5" customHeight="1">
      <c r="A20" s="54"/>
      <c r="B20" s="54"/>
      <c r="C20" s="54"/>
      <c r="D20" s="55" t="str">
        <f t="shared" ref="D20:D31" si="1">IF($A20="","",IFS(AND($B20="重要",$C20="緊急"),"第1領域｜重要×緊急",AND($B20="重要",$C20="緊急ではない"),"第2領域｜重要×非緊急",AND($B20="重要ではない",$C20="緊急"),"第3領域｜非重要×緊急",AND($B20="重要ではない",$C20="緊急ではない"),"第4領域｜非重要×非緊急",TRUE,"未分類"))</f>
        <v/>
      </c>
      <c r="E20" s="55" t="str">
        <f t="shared" ref="E20:E31" si="2">IF($A20="","",IFS(LEFT($D20,4)="第1領域","予防・仕組み化で減らす",LEFT($D20,4)="第2領域","先に予定へ入れて増やす",LEFT($D20,4)="第3領域","断る・任せる・後に回す",LEFT($D20,4)="第4領域","減らす・やめる",TRUE,"判断する"))</f>
        <v/>
      </c>
      <c r="F20" s="54"/>
      <c r="G20" s="44"/>
      <c r="H20" s="44"/>
      <c r="I20" s="44"/>
      <c r="J20" s="44"/>
      <c r="K20" s="44"/>
    </row>
    <row r="21" ht="31.5" customHeight="1">
      <c r="A21" s="54"/>
      <c r="B21" s="54"/>
      <c r="C21" s="54"/>
      <c r="D21" s="55" t="str">
        <f t="shared" si="1"/>
        <v/>
      </c>
      <c r="E21" s="55" t="str">
        <f t="shared" si="2"/>
        <v/>
      </c>
      <c r="F21" s="54"/>
      <c r="G21" s="44"/>
      <c r="H21" s="44"/>
      <c r="I21" s="44"/>
      <c r="J21" s="44"/>
      <c r="K21" s="44"/>
    </row>
    <row r="22" ht="31.5" customHeight="1">
      <c r="A22" s="54"/>
      <c r="B22" s="54"/>
      <c r="C22" s="54"/>
      <c r="D22" s="55" t="str">
        <f t="shared" si="1"/>
        <v/>
      </c>
      <c r="E22" s="55" t="str">
        <f t="shared" si="2"/>
        <v/>
      </c>
      <c r="F22" s="54"/>
      <c r="G22" s="44"/>
      <c r="H22" s="44"/>
      <c r="I22" s="44"/>
      <c r="J22" s="44"/>
      <c r="K22" s="44"/>
    </row>
    <row r="23" ht="31.5" customHeight="1">
      <c r="A23" s="54"/>
      <c r="B23" s="54"/>
      <c r="C23" s="54"/>
      <c r="D23" s="55" t="str">
        <f t="shared" si="1"/>
        <v/>
      </c>
      <c r="E23" s="55" t="str">
        <f t="shared" si="2"/>
        <v/>
      </c>
      <c r="F23" s="54"/>
      <c r="G23" s="44"/>
      <c r="H23" s="44"/>
      <c r="I23" s="44"/>
      <c r="J23" s="44"/>
      <c r="K23" s="44"/>
    </row>
    <row r="24" ht="31.5" customHeight="1">
      <c r="A24" s="54"/>
      <c r="B24" s="54"/>
      <c r="C24" s="54"/>
      <c r="D24" s="55" t="str">
        <f t="shared" si="1"/>
        <v/>
      </c>
      <c r="E24" s="55" t="str">
        <f t="shared" si="2"/>
        <v/>
      </c>
      <c r="F24" s="54"/>
      <c r="G24" s="44"/>
      <c r="H24" s="44"/>
      <c r="I24" s="44"/>
      <c r="J24" s="44"/>
      <c r="K24" s="44"/>
    </row>
    <row r="25" ht="31.5" customHeight="1">
      <c r="A25" s="54"/>
      <c r="B25" s="54"/>
      <c r="C25" s="54"/>
      <c r="D25" s="55" t="str">
        <f t="shared" si="1"/>
        <v/>
      </c>
      <c r="E25" s="55" t="str">
        <f t="shared" si="2"/>
        <v/>
      </c>
      <c r="F25" s="54"/>
      <c r="G25" s="44"/>
      <c r="H25" s="44"/>
      <c r="I25" s="44"/>
      <c r="J25" s="44"/>
      <c r="K25" s="44"/>
    </row>
    <row r="26" ht="31.5" customHeight="1">
      <c r="A26" s="54"/>
      <c r="B26" s="54"/>
      <c r="C26" s="54"/>
      <c r="D26" s="55" t="str">
        <f t="shared" si="1"/>
        <v/>
      </c>
      <c r="E26" s="55" t="str">
        <f t="shared" si="2"/>
        <v/>
      </c>
      <c r="F26" s="54"/>
      <c r="G26" s="44"/>
      <c r="H26" s="44"/>
      <c r="I26" s="44"/>
      <c r="J26" s="44"/>
      <c r="K26" s="44"/>
    </row>
    <row r="27" ht="31.5" customHeight="1">
      <c r="A27" s="54"/>
      <c r="B27" s="54"/>
      <c r="C27" s="54"/>
      <c r="D27" s="55" t="str">
        <f t="shared" si="1"/>
        <v/>
      </c>
      <c r="E27" s="55" t="str">
        <f t="shared" si="2"/>
        <v/>
      </c>
      <c r="F27" s="54"/>
      <c r="G27" s="44"/>
      <c r="H27" s="44"/>
      <c r="I27" s="44"/>
      <c r="J27" s="44"/>
      <c r="K27" s="44"/>
    </row>
    <row r="28" ht="31.5" customHeight="1">
      <c r="A28" s="54"/>
      <c r="B28" s="54"/>
      <c r="C28" s="54"/>
      <c r="D28" s="55" t="str">
        <f t="shared" si="1"/>
        <v/>
      </c>
      <c r="E28" s="55" t="str">
        <f t="shared" si="2"/>
        <v/>
      </c>
      <c r="F28" s="54"/>
      <c r="G28" s="44"/>
      <c r="H28" s="44"/>
      <c r="I28" s="44"/>
      <c r="J28" s="44"/>
      <c r="K28" s="44"/>
    </row>
    <row r="29" ht="31.5" customHeight="1">
      <c r="A29" s="54"/>
      <c r="B29" s="54"/>
      <c r="C29" s="54"/>
      <c r="D29" s="55" t="str">
        <f t="shared" si="1"/>
        <v/>
      </c>
      <c r="E29" s="55" t="str">
        <f t="shared" si="2"/>
        <v/>
      </c>
      <c r="F29" s="54"/>
      <c r="G29" s="44"/>
      <c r="H29" s="44"/>
      <c r="I29" s="44"/>
      <c r="J29" s="44"/>
      <c r="K29" s="44"/>
    </row>
    <row r="30" ht="31.5" customHeight="1">
      <c r="A30" s="54"/>
      <c r="B30" s="54"/>
      <c r="C30" s="54"/>
      <c r="D30" s="55" t="str">
        <f t="shared" si="1"/>
        <v/>
      </c>
      <c r="E30" s="55" t="str">
        <f t="shared" si="2"/>
        <v/>
      </c>
      <c r="F30" s="54"/>
      <c r="G30" s="44"/>
      <c r="H30" s="44"/>
      <c r="I30" s="44"/>
      <c r="J30" s="44"/>
      <c r="K30" s="44"/>
    </row>
    <row r="31" ht="31.5" customHeight="1">
      <c r="A31" s="54"/>
      <c r="B31" s="54"/>
      <c r="C31" s="54"/>
      <c r="D31" s="55" t="str">
        <f t="shared" si="1"/>
        <v/>
      </c>
      <c r="E31" s="55" t="str">
        <f t="shared" si="2"/>
        <v/>
      </c>
      <c r="F31" s="54"/>
      <c r="G31" s="44"/>
      <c r="H31" s="44"/>
      <c r="I31" s="44"/>
      <c r="J31" s="44"/>
      <c r="K31" s="44"/>
    </row>
    <row r="32" ht="24.0" customHeight="1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</row>
    <row r="33" ht="24.0" customHeight="1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</row>
    <row r="34" ht="24.0" customHeight="1">
      <c r="A34" s="46" t="s">
        <v>234</v>
      </c>
      <c r="G34" s="44"/>
      <c r="H34" s="44"/>
      <c r="I34" s="44"/>
      <c r="J34" s="44"/>
      <c r="K34" s="44"/>
    </row>
    <row r="35" ht="21.75" customHeight="1">
      <c r="A35" s="47" t="s">
        <v>235</v>
      </c>
      <c r="B35" s="47" t="s">
        <v>236</v>
      </c>
      <c r="C35" s="47" t="s">
        <v>237</v>
      </c>
      <c r="D35" s="47" t="s">
        <v>26</v>
      </c>
      <c r="E35" s="47" t="s">
        <v>6</v>
      </c>
      <c r="F35" s="44"/>
      <c r="G35" s="44"/>
      <c r="H35" s="44"/>
      <c r="I35" s="44"/>
      <c r="J35" s="44"/>
      <c r="K35" s="44"/>
    </row>
    <row r="36" ht="33.75" customHeight="1">
      <c r="A36" s="44" t="s">
        <v>238</v>
      </c>
      <c r="B36" s="44" t="s">
        <v>239</v>
      </c>
      <c r="C36" s="54"/>
      <c r="D36" s="44" t="s">
        <v>240</v>
      </c>
      <c r="E36" s="44" t="s">
        <v>241</v>
      </c>
      <c r="F36" s="44"/>
      <c r="G36" s="44"/>
      <c r="H36" s="44"/>
      <c r="I36" s="44"/>
      <c r="J36" s="44"/>
      <c r="K36" s="44"/>
    </row>
    <row r="37" ht="33.75" customHeight="1">
      <c r="A37" s="44" t="s">
        <v>242</v>
      </c>
      <c r="B37" s="44" t="s">
        <v>243</v>
      </c>
      <c r="C37" s="54"/>
      <c r="D37" s="44" t="s">
        <v>64</v>
      </c>
      <c r="E37" s="44" t="s">
        <v>244</v>
      </c>
      <c r="F37" s="44"/>
      <c r="G37" s="44"/>
      <c r="H37" s="44"/>
      <c r="I37" s="44"/>
      <c r="J37" s="44"/>
      <c r="K37" s="44"/>
    </row>
    <row r="38" ht="33.75" customHeight="1">
      <c r="A38" s="44" t="s">
        <v>245</v>
      </c>
      <c r="B38" s="44" t="s">
        <v>246</v>
      </c>
      <c r="C38" s="54"/>
      <c r="D38" s="44" t="s">
        <v>247</v>
      </c>
      <c r="E38" s="44" t="s">
        <v>248</v>
      </c>
      <c r="F38" s="44"/>
      <c r="G38" s="44"/>
      <c r="H38" s="44"/>
      <c r="I38" s="44"/>
      <c r="J38" s="44"/>
      <c r="K38" s="44"/>
    </row>
    <row r="39" ht="33.75" customHeight="1">
      <c r="A39" s="44" t="s">
        <v>249</v>
      </c>
      <c r="B39" s="44" t="s">
        <v>250</v>
      </c>
      <c r="C39" s="54"/>
      <c r="D39" s="44" t="s">
        <v>251</v>
      </c>
      <c r="E39" s="44" t="s">
        <v>252</v>
      </c>
      <c r="F39" s="44"/>
      <c r="G39" s="44"/>
      <c r="H39" s="44"/>
      <c r="I39" s="44"/>
      <c r="J39" s="44"/>
      <c r="K39" s="44"/>
    </row>
    <row r="40" ht="33.75" customHeight="1">
      <c r="A40" s="44" t="s">
        <v>253</v>
      </c>
      <c r="B40" s="44" t="s">
        <v>254</v>
      </c>
      <c r="C40" s="54"/>
      <c r="D40" s="44" t="s">
        <v>255</v>
      </c>
      <c r="E40" s="44" t="s">
        <v>256</v>
      </c>
      <c r="F40" s="44"/>
      <c r="G40" s="44"/>
      <c r="H40" s="44"/>
      <c r="I40" s="44"/>
      <c r="J40" s="44"/>
      <c r="K40" s="44"/>
    </row>
    <row r="41" ht="33.75" customHeight="1">
      <c r="A41" s="44" t="s">
        <v>257</v>
      </c>
      <c r="B41" s="44" t="s">
        <v>258</v>
      </c>
      <c r="C41" s="54"/>
      <c r="D41" s="44" t="s">
        <v>259</v>
      </c>
      <c r="E41" s="44" t="s">
        <v>260</v>
      </c>
      <c r="F41" s="44"/>
      <c r="G41" s="44"/>
      <c r="H41" s="44"/>
      <c r="I41" s="44"/>
      <c r="J41" s="44"/>
      <c r="K41" s="44"/>
    </row>
    <row r="42" ht="33.75" customHeight="1">
      <c r="A42" s="44" t="s">
        <v>261</v>
      </c>
      <c r="B42" s="44" t="s">
        <v>258</v>
      </c>
      <c r="C42" s="54"/>
      <c r="D42" s="44" t="s">
        <v>262</v>
      </c>
      <c r="E42" s="44" t="s">
        <v>260</v>
      </c>
      <c r="F42" s="44"/>
      <c r="G42" s="44"/>
      <c r="H42" s="44"/>
      <c r="I42" s="44"/>
      <c r="J42" s="44"/>
      <c r="K42" s="44"/>
    </row>
    <row r="43" ht="33.75" customHeight="1">
      <c r="A43" s="44" t="s">
        <v>263</v>
      </c>
      <c r="B43" s="44" t="s">
        <v>264</v>
      </c>
      <c r="C43" s="54"/>
      <c r="D43" s="44" t="s">
        <v>265</v>
      </c>
      <c r="E43" s="44" t="s">
        <v>266</v>
      </c>
      <c r="F43" s="44"/>
      <c r="G43" s="44"/>
      <c r="H43" s="44"/>
      <c r="I43" s="44"/>
      <c r="J43" s="44"/>
      <c r="K43" s="44"/>
    </row>
    <row r="44" ht="33.75" customHeight="1">
      <c r="A44" s="44" t="s">
        <v>267</v>
      </c>
      <c r="B44" s="44" t="s">
        <v>268</v>
      </c>
      <c r="C44" s="54"/>
      <c r="D44" s="44" t="s">
        <v>269</v>
      </c>
      <c r="E44" s="44" t="s">
        <v>270</v>
      </c>
      <c r="F44" s="44"/>
      <c r="G44" s="44"/>
      <c r="H44" s="44"/>
      <c r="I44" s="44"/>
      <c r="J44" s="44"/>
      <c r="K44" s="44"/>
    </row>
    <row r="45" ht="24.0" customHeight="1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</row>
    <row r="46" ht="24.0" customHeight="1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</row>
    <row r="47" ht="24.0" customHeight="1">
      <c r="A47" s="46" t="s">
        <v>271</v>
      </c>
      <c r="G47" s="44"/>
      <c r="H47" s="44"/>
      <c r="I47" s="44"/>
      <c r="J47" s="44"/>
      <c r="K47" s="44"/>
    </row>
    <row r="48" ht="21.75" customHeight="1">
      <c r="A48" s="47" t="s">
        <v>272</v>
      </c>
      <c r="B48" s="47" t="s">
        <v>273</v>
      </c>
      <c r="C48" s="47" t="s">
        <v>274</v>
      </c>
      <c r="D48" s="47" t="s">
        <v>205</v>
      </c>
      <c r="E48" s="47" t="s">
        <v>275</v>
      </c>
      <c r="F48" s="44"/>
      <c r="G48" s="44"/>
      <c r="H48" s="44"/>
      <c r="I48" s="44"/>
      <c r="J48" s="44"/>
      <c r="K48" s="44"/>
    </row>
    <row r="49" ht="37.5" customHeight="1">
      <c r="A49" s="44" t="s">
        <v>276</v>
      </c>
      <c r="B49" s="44" t="s">
        <v>277</v>
      </c>
      <c r="C49" s="44" t="s">
        <v>278</v>
      </c>
      <c r="D49" s="44" t="s">
        <v>279</v>
      </c>
      <c r="E49" s="44" t="s">
        <v>280</v>
      </c>
      <c r="F49" s="44"/>
      <c r="G49" s="44"/>
      <c r="H49" s="44"/>
      <c r="I49" s="44"/>
      <c r="J49" s="44"/>
      <c r="K49" s="44"/>
    </row>
    <row r="50" ht="37.5" customHeight="1">
      <c r="A50" s="44" t="s">
        <v>281</v>
      </c>
      <c r="B50" s="44" t="s">
        <v>282</v>
      </c>
      <c r="C50" s="44" t="s">
        <v>283</v>
      </c>
      <c r="D50" s="44" t="s">
        <v>284</v>
      </c>
      <c r="E50" s="44" t="s">
        <v>285</v>
      </c>
      <c r="F50" s="44"/>
      <c r="G50" s="44"/>
      <c r="H50" s="44"/>
      <c r="I50" s="44"/>
      <c r="J50" s="44"/>
      <c r="K50" s="44"/>
    </row>
    <row r="51" ht="37.5" customHeight="1">
      <c r="A51" s="44" t="s">
        <v>286</v>
      </c>
      <c r="B51" s="44" t="s">
        <v>287</v>
      </c>
      <c r="C51" s="44" t="s">
        <v>288</v>
      </c>
      <c r="D51" s="44" t="s">
        <v>289</v>
      </c>
      <c r="E51" s="44" t="s">
        <v>290</v>
      </c>
      <c r="F51" s="44"/>
      <c r="G51" s="44"/>
      <c r="H51" s="44"/>
      <c r="I51" s="44"/>
      <c r="J51" s="44"/>
      <c r="K51" s="44"/>
    </row>
    <row r="52" ht="37.5" customHeight="1">
      <c r="A52" s="44" t="s">
        <v>291</v>
      </c>
      <c r="B52" s="44" t="s">
        <v>292</v>
      </c>
      <c r="C52" s="44" t="s">
        <v>293</v>
      </c>
      <c r="D52" s="44" t="s">
        <v>294</v>
      </c>
      <c r="E52" s="44" t="s">
        <v>295</v>
      </c>
      <c r="F52" s="44"/>
      <c r="G52" s="44"/>
      <c r="H52" s="44"/>
      <c r="I52" s="44"/>
      <c r="J52" s="44"/>
      <c r="K52" s="44"/>
    </row>
    <row r="53" ht="37.5" customHeight="1">
      <c r="A53" s="44" t="s">
        <v>296</v>
      </c>
      <c r="B53" s="44" t="s">
        <v>297</v>
      </c>
      <c r="C53" s="44" t="s">
        <v>298</v>
      </c>
      <c r="D53" s="44" t="s">
        <v>299</v>
      </c>
      <c r="E53" s="44" t="s">
        <v>300</v>
      </c>
      <c r="F53" s="44"/>
      <c r="G53" s="44"/>
      <c r="H53" s="44"/>
      <c r="I53" s="44"/>
      <c r="J53" s="44"/>
      <c r="K53" s="44"/>
    </row>
    <row r="54" ht="24.0" customHeight="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</row>
    <row r="55" ht="24.0" customHeight="1">
      <c r="A55" s="44" t="s">
        <v>301</v>
      </c>
      <c r="B55" s="44" t="s">
        <v>302</v>
      </c>
      <c r="C55" s="44" t="s">
        <v>303</v>
      </c>
      <c r="D55" s="44" t="s">
        <v>304</v>
      </c>
      <c r="E55" s="44" t="s">
        <v>305</v>
      </c>
      <c r="F55" s="44"/>
      <c r="G55" s="44"/>
      <c r="H55" s="44"/>
      <c r="I55" s="44"/>
      <c r="J55" s="44"/>
      <c r="K55" s="44"/>
    </row>
    <row r="56" ht="24.0" customHeight="1">
      <c r="A56" s="44" t="s">
        <v>306</v>
      </c>
      <c r="B56" s="44" t="s">
        <v>307</v>
      </c>
      <c r="C56" s="44" t="s">
        <v>308</v>
      </c>
      <c r="D56" s="44" t="s">
        <v>309</v>
      </c>
      <c r="E56" s="44" t="s">
        <v>310</v>
      </c>
      <c r="F56" s="44"/>
      <c r="G56" s="44"/>
      <c r="H56" s="44"/>
      <c r="I56" s="44"/>
      <c r="J56" s="44"/>
      <c r="K56" s="44"/>
    </row>
    <row r="57" ht="24.0" customHeight="1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</row>
    <row r="58" ht="24.0" customHeight="1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</row>
    <row r="59" ht="24.0" customHeight="1">
      <c r="A59" s="46" t="s">
        <v>311</v>
      </c>
      <c r="G59" s="44"/>
      <c r="H59" s="44"/>
      <c r="I59" s="44"/>
      <c r="J59" s="44"/>
      <c r="K59" s="44"/>
    </row>
    <row r="60" ht="21.75" customHeight="1">
      <c r="A60" s="47" t="s">
        <v>312</v>
      </c>
      <c r="B60" s="47" t="s">
        <v>313</v>
      </c>
      <c r="C60" s="47" t="s">
        <v>314</v>
      </c>
      <c r="D60" s="47" t="s">
        <v>315</v>
      </c>
      <c r="E60" s="47" t="s">
        <v>316</v>
      </c>
      <c r="F60" s="44"/>
      <c r="G60" s="44"/>
      <c r="H60" s="44"/>
      <c r="I60" s="44"/>
      <c r="J60" s="44"/>
      <c r="K60" s="44"/>
    </row>
    <row r="61" ht="33.75" customHeight="1">
      <c r="A61" s="44" t="s">
        <v>317</v>
      </c>
      <c r="B61" s="44" t="s">
        <v>318</v>
      </c>
      <c r="C61" s="44" t="s">
        <v>319</v>
      </c>
      <c r="D61" s="44" t="s">
        <v>320</v>
      </c>
      <c r="E61" s="44"/>
      <c r="F61" s="44"/>
      <c r="G61" s="44"/>
      <c r="H61" s="44"/>
      <c r="I61" s="44"/>
      <c r="J61" s="44"/>
      <c r="K61" s="44"/>
    </row>
    <row r="62" ht="33.75" customHeight="1">
      <c r="A62" s="44" t="s">
        <v>321</v>
      </c>
      <c r="B62" s="44" t="s">
        <v>322</v>
      </c>
      <c r="C62" s="44" t="s">
        <v>323</v>
      </c>
      <c r="D62" s="44" t="s">
        <v>324</v>
      </c>
      <c r="E62" s="44"/>
      <c r="F62" s="44"/>
      <c r="G62" s="44"/>
      <c r="H62" s="44"/>
      <c r="I62" s="44"/>
      <c r="J62" s="44"/>
      <c r="K62" s="44"/>
    </row>
    <row r="63" ht="33.75" customHeight="1">
      <c r="A63" s="44" t="s">
        <v>325</v>
      </c>
      <c r="B63" s="44" t="s">
        <v>326</v>
      </c>
      <c r="C63" s="44" t="s">
        <v>327</v>
      </c>
      <c r="D63" s="44" t="s">
        <v>328</v>
      </c>
      <c r="E63" s="44"/>
      <c r="F63" s="44"/>
      <c r="G63" s="44"/>
      <c r="H63" s="44"/>
      <c r="I63" s="44"/>
      <c r="J63" s="44"/>
      <c r="K63" s="44"/>
    </row>
    <row r="64" ht="33.75" customHeight="1">
      <c r="A64" s="44" t="s">
        <v>265</v>
      </c>
      <c r="B64" s="44" t="s">
        <v>329</v>
      </c>
      <c r="C64" s="44" t="s">
        <v>330</v>
      </c>
      <c r="D64" s="44" t="s">
        <v>331</v>
      </c>
      <c r="E64" s="44"/>
      <c r="F64" s="44"/>
      <c r="G64" s="44"/>
      <c r="H64" s="44"/>
      <c r="I64" s="44"/>
      <c r="J64" s="44"/>
      <c r="K64" s="44"/>
    </row>
    <row r="65" ht="33.75" customHeight="1">
      <c r="A65" s="44" t="s">
        <v>332</v>
      </c>
      <c r="B65" s="44" t="s">
        <v>333</v>
      </c>
      <c r="C65" s="44" t="s">
        <v>334</v>
      </c>
      <c r="D65" s="44" t="s">
        <v>335</v>
      </c>
      <c r="E65" s="44"/>
      <c r="F65" s="44"/>
      <c r="G65" s="44"/>
      <c r="H65" s="44"/>
      <c r="I65" s="44"/>
      <c r="J65" s="44"/>
      <c r="K65" s="44"/>
    </row>
    <row r="66" ht="33.75" customHeight="1">
      <c r="A66" s="44" t="s">
        <v>336</v>
      </c>
      <c r="B66" s="44" t="s">
        <v>337</v>
      </c>
      <c r="C66" s="44" t="s">
        <v>338</v>
      </c>
      <c r="D66" s="44" t="s">
        <v>339</v>
      </c>
      <c r="E66" s="44"/>
      <c r="F66" s="44"/>
      <c r="G66" s="44"/>
      <c r="H66" s="44"/>
      <c r="I66" s="44"/>
      <c r="J66" s="44"/>
      <c r="K66" s="44"/>
    </row>
    <row r="67" ht="33.75" customHeight="1">
      <c r="A67" s="44" t="s">
        <v>207</v>
      </c>
      <c r="B67" s="44" t="s">
        <v>340</v>
      </c>
      <c r="C67" s="44" t="s">
        <v>341</v>
      </c>
      <c r="D67" s="44" t="s">
        <v>342</v>
      </c>
      <c r="E67" s="44"/>
      <c r="F67" s="44"/>
      <c r="G67" s="44"/>
      <c r="H67" s="44"/>
      <c r="I67" s="44"/>
      <c r="J67" s="44"/>
      <c r="K67" s="44"/>
    </row>
    <row r="68" ht="15.75" customHeight="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</row>
    <row r="69" ht="15.75" customHeight="1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</row>
    <row r="70" ht="24.0" customHeight="1">
      <c r="A70" s="46" t="s">
        <v>343</v>
      </c>
      <c r="G70" s="44"/>
      <c r="H70" s="44"/>
      <c r="I70" s="44"/>
      <c r="J70" s="44"/>
      <c r="K70" s="44"/>
    </row>
    <row r="71" ht="21.75" customHeight="1">
      <c r="A71" s="47" t="s">
        <v>344</v>
      </c>
      <c r="B71" s="47" t="s">
        <v>272</v>
      </c>
      <c r="C71" s="47" t="s">
        <v>314</v>
      </c>
      <c r="D71" s="47" t="s">
        <v>345</v>
      </c>
      <c r="E71" s="47" t="s">
        <v>346</v>
      </c>
      <c r="F71" s="44"/>
      <c r="G71" s="44"/>
      <c r="H71" s="44"/>
      <c r="I71" s="44"/>
      <c r="J71" s="44"/>
      <c r="K71" s="44"/>
    </row>
    <row r="72" ht="36.0" customHeight="1">
      <c r="A72" s="44" t="s">
        <v>347</v>
      </c>
      <c r="B72" s="44" t="s">
        <v>348</v>
      </c>
      <c r="C72" s="44" t="s">
        <v>349</v>
      </c>
      <c r="D72" s="44" t="s">
        <v>350</v>
      </c>
      <c r="E72" s="44" t="s">
        <v>351</v>
      </c>
      <c r="F72" s="44"/>
      <c r="G72" s="44"/>
      <c r="H72" s="44"/>
      <c r="I72" s="44"/>
      <c r="J72" s="44"/>
      <c r="K72" s="44"/>
    </row>
    <row r="73" ht="36.0" customHeight="1">
      <c r="A73" s="44" t="s">
        <v>352</v>
      </c>
      <c r="B73" s="44" t="s">
        <v>353</v>
      </c>
      <c r="C73" s="44" t="s">
        <v>354</v>
      </c>
      <c r="D73" s="44" t="s">
        <v>355</v>
      </c>
      <c r="E73" s="44" t="s">
        <v>356</v>
      </c>
      <c r="F73" s="44"/>
      <c r="G73" s="44"/>
      <c r="H73" s="44"/>
      <c r="I73" s="44"/>
      <c r="J73" s="44"/>
      <c r="K73" s="44"/>
    </row>
    <row r="74" ht="36.0" customHeight="1">
      <c r="A74" s="44" t="s">
        <v>357</v>
      </c>
      <c r="B74" s="44" t="s">
        <v>358</v>
      </c>
      <c r="C74" s="44" t="s">
        <v>359</v>
      </c>
      <c r="D74" s="44" t="s">
        <v>360</v>
      </c>
      <c r="E74" s="44" t="s">
        <v>351</v>
      </c>
      <c r="F74" s="44"/>
      <c r="G74" s="44"/>
      <c r="H74" s="44"/>
      <c r="I74" s="44"/>
      <c r="J74" s="44"/>
      <c r="K74" s="44"/>
    </row>
    <row r="75" ht="36.0" customHeight="1">
      <c r="A75" s="44" t="s">
        <v>361</v>
      </c>
      <c r="B75" s="44" t="s">
        <v>362</v>
      </c>
      <c r="C75" s="44" t="s">
        <v>363</v>
      </c>
      <c r="D75" s="44" t="s">
        <v>364</v>
      </c>
      <c r="E75" s="44" t="s">
        <v>365</v>
      </c>
      <c r="F75" s="44"/>
      <c r="G75" s="44"/>
      <c r="H75" s="44"/>
      <c r="I75" s="44"/>
      <c r="J75" s="44"/>
      <c r="K75" s="44"/>
    </row>
    <row r="76" ht="36.0" customHeight="1">
      <c r="A76" s="44" t="s">
        <v>366</v>
      </c>
      <c r="B76" s="44" t="s">
        <v>367</v>
      </c>
      <c r="C76" s="44" t="s">
        <v>368</v>
      </c>
      <c r="D76" s="44" t="s">
        <v>369</v>
      </c>
      <c r="E76" s="44" t="s">
        <v>365</v>
      </c>
      <c r="F76" s="44"/>
      <c r="G76" s="44"/>
      <c r="H76" s="44"/>
      <c r="I76" s="44"/>
      <c r="J76" s="44"/>
      <c r="K76" s="44"/>
    </row>
    <row r="77" ht="15.75" customHeight="1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</row>
    <row r="78" ht="15.75" customHeight="1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</row>
    <row r="79" ht="24.0" customHeight="1">
      <c r="A79" s="46" t="s">
        <v>370</v>
      </c>
      <c r="G79" s="44"/>
      <c r="H79" s="44"/>
      <c r="I79" s="44"/>
      <c r="J79" s="44"/>
      <c r="K79" s="44"/>
    </row>
    <row r="80" ht="21.75" customHeight="1">
      <c r="A80" s="47" t="s">
        <v>371</v>
      </c>
      <c r="B80" s="47" t="s">
        <v>372</v>
      </c>
      <c r="C80" s="47" t="s">
        <v>373</v>
      </c>
      <c r="D80" s="47" t="s">
        <v>374</v>
      </c>
      <c r="E80" s="44"/>
      <c r="F80" s="44"/>
      <c r="G80" s="44"/>
      <c r="H80" s="44"/>
      <c r="I80" s="44"/>
      <c r="J80" s="44"/>
      <c r="K80" s="44"/>
    </row>
    <row r="81" ht="15.75" customHeight="1">
      <c r="A81" s="44" t="s">
        <v>375</v>
      </c>
      <c r="B81" s="44" t="s">
        <v>376</v>
      </c>
      <c r="C81" s="44" t="s">
        <v>377</v>
      </c>
      <c r="D81" s="44" t="s">
        <v>378</v>
      </c>
      <c r="E81" s="44"/>
      <c r="F81" s="44"/>
      <c r="G81" s="44"/>
      <c r="H81" s="44"/>
      <c r="I81" s="44"/>
      <c r="J81" s="44"/>
      <c r="K81" s="44"/>
    </row>
    <row r="82" ht="15.75" customHeight="1">
      <c r="A82" s="44" t="s">
        <v>379</v>
      </c>
      <c r="B82" s="44" t="s">
        <v>380</v>
      </c>
      <c r="C82" s="44" t="s">
        <v>381</v>
      </c>
      <c r="D82" s="44" t="s">
        <v>382</v>
      </c>
      <c r="E82" s="44"/>
      <c r="F82" s="44"/>
      <c r="G82" s="44"/>
      <c r="H82" s="44"/>
      <c r="I82" s="44"/>
      <c r="J82" s="44"/>
      <c r="K82" s="44"/>
    </row>
    <row r="83" ht="15.75" customHeight="1">
      <c r="A83" s="44" t="s">
        <v>383</v>
      </c>
      <c r="B83" s="44" t="s">
        <v>384</v>
      </c>
      <c r="C83" s="44" t="s">
        <v>385</v>
      </c>
      <c r="D83" s="44" t="s">
        <v>386</v>
      </c>
      <c r="E83" s="44"/>
      <c r="F83" s="44"/>
      <c r="G83" s="44"/>
      <c r="H83" s="44"/>
      <c r="I83" s="44"/>
      <c r="J83" s="44"/>
      <c r="K83" s="44"/>
    </row>
    <row r="84" ht="15.75" customHeight="1">
      <c r="A84" s="44" t="s">
        <v>387</v>
      </c>
      <c r="B84" s="44" t="s">
        <v>388</v>
      </c>
      <c r="C84" s="44" t="s">
        <v>178</v>
      </c>
      <c r="D84" s="44" t="s">
        <v>389</v>
      </c>
      <c r="E84" s="44"/>
      <c r="F84" s="44"/>
      <c r="G84" s="44"/>
      <c r="H84" s="44"/>
      <c r="I84" s="44"/>
      <c r="J84" s="44"/>
      <c r="K84" s="44"/>
    </row>
    <row r="85" ht="15.75" customHeight="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</row>
    <row r="86" ht="15.75" customHeight="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</row>
    <row r="87" ht="15.75" customHeight="1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</row>
    <row r="88" ht="15.75" customHeight="1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</row>
    <row r="89" ht="15.75" customHeight="1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</row>
    <row r="90" ht="15.75" customHeight="1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47:F47"/>
    <mergeCell ref="A59:F59"/>
    <mergeCell ref="A70:F70"/>
    <mergeCell ref="A79:F79"/>
    <mergeCell ref="A1:F1"/>
    <mergeCell ref="A2:F3"/>
    <mergeCell ref="A5:F5"/>
    <mergeCell ref="A11:F11"/>
    <mergeCell ref="A12:F12"/>
    <mergeCell ref="A18:F18"/>
    <mergeCell ref="A34:F34"/>
  </mergeCells>
  <conditionalFormatting sqref="I32:I51">
    <cfRule type="expression" dxfId="8" priority="1">
      <formula>I32="完了"</formula>
    </cfRule>
  </conditionalFormatting>
  <conditionalFormatting sqref="I32:I51">
    <cfRule type="expression" dxfId="9" priority="2">
      <formula>I32="進行中"</formula>
    </cfRule>
  </conditionalFormatting>
  <conditionalFormatting sqref="D20:D31">
    <cfRule type="expression" dxfId="10" priority="3">
      <formula>LEFT(D20,4)="第2領域"</formula>
    </cfRule>
  </conditionalFormatting>
  <conditionalFormatting sqref="D20:D31">
    <cfRule type="expression" dxfId="11" priority="4">
      <formula>LEFT(D20,4)="第1領域"</formula>
    </cfRule>
  </conditionalFormatting>
  <conditionalFormatting sqref="D20:D31">
    <cfRule type="expression" dxfId="12" priority="5">
      <formula>LEFT(D20,4)="第3領域"</formula>
    </cfRule>
  </conditionalFormatting>
  <conditionalFormatting sqref="D20:D31">
    <cfRule type="expression" dxfId="13" priority="6">
      <formula>LEFT(D20,4)="第4領域"</formula>
    </cfRule>
  </conditionalFormatting>
  <dataValidations>
    <dataValidation type="list" allowBlank="1" sqref="C43">
      <formula1>"心配する時間を後で決める,五感・身体感覚に戻る,コントロールできることに戻る,今できることを1つだけやる,必要なものと欲しいものを分ける,誰かに相談する"</formula1>
    </dataValidation>
    <dataValidation type="list" allowBlank="1" sqref="C13">
      <formula1>'04_行動変容ワーク'!$K$2:$K$11</formula1>
    </dataValidation>
    <dataValidation type="list" allowBlank="1" sqref="B20:B31">
      <formula1>"重要,重要ではない"</formula1>
    </dataValidation>
    <dataValidation type="list" allowBlank="1" sqref="C20:C31">
      <formula1>"緊急,緊急ではない"</formula1>
    </dataValidation>
    <dataValidation type="list" allowBlank="1" sqref="C19">
      <formula1>'04_行動変容ワーク'!$L$2:$L$7</formula1>
    </dataValidation>
    <dataValidation type="list" allowBlank="1" sqref="I32:I51">
      <formula1>'04_行動変容ワーク'!$P$2:$P$6</formula1>
    </dataValidation>
    <dataValidation type="list" allowBlank="1" sqref="C37">
      <formula1>"時間がない,疲れている,何からやればいいかわからない,内容が難しい,完璧主義で止まる,考えすぎる,スマホ・SNSに流れる,環境が整っていない,優先度が下がる,相談できずに止まる"</formula1>
    </dataValidation>
    <dataValidation type="list" allowBlank="1" sqref="I21:I28">
      <formula1>'04_行動変容ワーク'!$Q$2:$Q$5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3" width="13.0"/>
    <col customWidth="1" min="4" max="4" width="15.0"/>
    <col customWidth="1" min="5" max="5" width="34.0"/>
    <col customWidth="1" min="6" max="6" width="22.0"/>
    <col customWidth="1" min="7" max="8" width="30.0"/>
    <col customWidth="1" min="9" max="9" width="16.0"/>
    <col customWidth="1" min="10" max="10" width="28.0"/>
    <col customWidth="1" min="11" max="11" width="22.0"/>
    <col customWidth="1" min="12" max="12" width="6.0"/>
    <col customWidth="1" min="13" max="14" width="13.0"/>
    <col customWidth="1" min="15" max="15" width="15.0"/>
    <col customWidth="1" min="16" max="17" width="34.0"/>
    <col customWidth="1" min="18" max="18" width="30.0"/>
    <col customWidth="1" min="19" max="19" width="16.0"/>
    <col customWidth="1" min="20" max="20" width="28.0"/>
    <col customWidth="1" min="21" max="21" width="18.0"/>
    <col customWidth="1" min="22" max="22" width="12.0"/>
    <col customWidth="1" min="23" max="23" width="24.0"/>
    <col customWidth="1" min="24" max="25" width="18.0"/>
    <col customWidth="1" min="26" max="31" width="22.0"/>
    <col customWidth="1" min="32" max="33" width="12.0"/>
  </cols>
  <sheetData>
    <row r="1" ht="27.75" customHeight="1">
      <c r="A1" s="56" t="s">
        <v>390</v>
      </c>
      <c r="V1" s="44"/>
      <c r="W1" s="44" t="s">
        <v>391</v>
      </c>
      <c r="X1" s="44" t="s">
        <v>392</v>
      </c>
      <c r="Y1" s="44" t="s">
        <v>393</v>
      </c>
      <c r="Z1" s="44"/>
      <c r="AA1" s="44"/>
      <c r="AB1" s="44"/>
      <c r="AC1" s="44"/>
      <c r="AD1" s="44"/>
      <c r="AE1" s="44"/>
      <c r="AF1" s="44"/>
      <c r="AG1" s="44"/>
    </row>
    <row r="2">
      <c r="A2" s="57" t="s">
        <v>394</v>
      </c>
      <c r="V2" s="44"/>
      <c r="W2" s="44" t="s">
        <v>395</v>
      </c>
      <c r="X2" s="44" t="s">
        <v>396</v>
      </c>
      <c r="Y2" s="44" t="s">
        <v>396</v>
      </c>
      <c r="Z2" s="44"/>
      <c r="AA2" s="44"/>
      <c r="AB2" s="44"/>
      <c r="AC2" s="44"/>
      <c r="AD2" s="44"/>
      <c r="AE2" s="44"/>
      <c r="AF2" s="44"/>
      <c r="AG2" s="44"/>
    </row>
    <row r="3">
      <c r="V3" s="44"/>
      <c r="W3" s="44" t="s">
        <v>397</v>
      </c>
      <c r="X3" s="44" t="s">
        <v>398</v>
      </c>
      <c r="Y3" s="44" t="s">
        <v>399</v>
      </c>
      <c r="Z3" s="44"/>
      <c r="AA3" s="44"/>
      <c r="AB3" s="44"/>
      <c r="AC3" s="44"/>
      <c r="AD3" s="44"/>
      <c r="AE3" s="44"/>
      <c r="AF3" s="44"/>
      <c r="AG3" s="44"/>
    </row>
    <row r="4">
      <c r="A4" s="58" t="s">
        <v>400</v>
      </c>
      <c r="B4" s="58" t="s">
        <v>5</v>
      </c>
      <c r="C4" s="58" t="s">
        <v>401</v>
      </c>
      <c r="D4" s="59"/>
      <c r="E4" s="58" t="s">
        <v>400</v>
      </c>
      <c r="F4" s="58" t="s">
        <v>5</v>
      </c>
      <c r="G4" s="58" t="s">
        <v>401</v>
      </c>
      <c r="H4" s="59"/>
      <c r="I4" s="58" t="s">
        <v>400</v>
      </c>
      <c r="J4" s="58" t="s">
        <v>5</v>
      </c>
      <c r="K4" s="59"/>
      <c r="L4" s="59"/>
      <c r="M4" s="59"/>
      <c r="N4" s="59"/>
      <c r="O4" s="59"/>
      <c r="P4" s="59"/>
      <c r="Q4" s="44"/>
      <c r="R4" s="44"/>
      <c r="S4" s="44"/>
      <c r="T4" s="44"/>
      <c r="U4" s="44"/>
      <c r="V4" s="44"/>
      <c r="W4" s="44" t="s">
        <v>402</v>
      </c>
      <c r="X4" s="44" t="s">
        <v>403</v>
      </c>
      <c r="Y4" s="44" t="s">
        <v>404</v>
      </c>
      <c r="Z4" s="44"/>
      <c r="AA4" s="44"/>
      <c r="AB4" s="44"/>
      <c r="AC4" s="44"/>
      <c r="AD4" s="44"/>
      <c r="AE4" s="44"/>
      <c r="AF4" s="44"/>
      <c r="AG4" s="44"/>
    </row>
    <row r="5">
      <c r="A5" s="60" t="s">
        <v>405</v>
      </c>
      <c r="B5" s="60">
        <f>COUNTIF($H$9:$H$112,"止まりそう")+COUNTIF($H$9:$H$112,"相談したい")</f>
        <v>0</v>
      </c>
      <c r="C5" s="60" t="s">
        <v>406</v>
      </c>
      <c r="D5" s="60"/>
      <c r="E5" s="60" t="s">
        <v>407</v>
      </c>
      <c r="F5" s="60">
        <f>COUNTIF($H$9:$H$112,"相談したい")</f>
        <v>0</v>
      </c>
      <c r="G5" s="60" t="s">
        <v>408</v>
      </c>
      <c r="H5" s="60"/>
      <c r="I5" s="60" t="s">
        <v>409</v>
      </c>
      <c r="J5" s="60">
        <f>COUNTIF($S$9:$S$32,"完了")</f>
        <v>0</v>
      </c>
      <c r="K5" s="60"/>
      <c r="L5" s="60"/>
      <c r="M5" s="60"/>
      <c r="N5" s="60"/>
      <c r="O5" s="60"/>
      <c r="P5" s="60"/>
      <c r="Q5" s="44"/>
      <c r="R5" s="44"/>
      <c r="S5" s="44"/>
      <c r="T5" s="44"/>
      <c r="U5" s="44"/>
      <c r="V5" s="44"/>
      <c r="W5" s="44" t="s">
        <v>410</v>
      </c>
      <c r="X5" s="44" t="s">
        <v>411</v>
      </c>
      <c r="Y5" s="44" t="s">
        <v>398</v>
      </c>
      <c r="Z5" s="44"/>
      <c r="AA5" s="44"/>
      <c r="AB5" s="44"/>
      <c r="AC5" s="44"/>
      <c r="AD5" s="44"/>
      <c r="AE5" s="44"/>
      <c r="AF5" s="44"/>
      <c r="AG5" s="44"/>
    </row>
    <row r="6">
      <c r="A6" s="44"/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 t="s">
        <v>412</v>
      </c>
      <c r="X6" s="44" t="s">
        <v>413</v>
      </c>
      <c r="Y6" s="44" t="s">
        <v>403</v>
      </c>
      <c r="Z6" s="44"/>
      <c r="AA6" s="44"/>
      <c r="AB6" s="44"/>
      <c r="AC6" s="44"/>
      <c r="AD6" s="44"/>
      <c r="AE6" s="44"/>
      <c r="AF6" s="44"/>
      <c r="AG6" s="44"/>
    </row>
    <row r="7" ht="24.0" customHeight="1">
      <c r="A7" s="61" t="s">
        <v>414</v>
      </c>
      <c r="K7" s="62"/>
      <c r="L7" s="61" t="s">
        <v>415</v>
      </c>
      <c r="V7" s="62"/>
      <c r="W7" s="62" t="s">
        <v>416</v>
      </c>
      <c r="X7" s="62"/>
      <c r="Y7" s="62" t="s">
        <v>413</v>
      </c>
      <c r="Z7" s="62"/>
      <c r="AA7" s="62"/>
      <c r="AB7" s="62"/>
      <c r="AC7" s="62"/>
      <c r="AD7" s="62"/>
      <c r="AE7" s="62"/>
      <c r="AF7" s="62"/>
      <c r="AG7" s="44"/>
    </row>
    <row r="8">
      <c r="A8" s="63" t="s">
        <v>417</v>
      </c>
      <c r="B8" s="63" t="s">
        <v>418</v>
      </c>
      <c r="C8" s="63" t="s">
        <v>419</v>
      </c>
      <c r="D8" s="63" t="s">
        <v>420</v>
      </c>
      <c r="E8" s="63" t="s">
        <v>421</v>
      </c>
      <c r="F8" s="63" t="s">
        <v>422</v>
      </c>
      <c r="G8" s="63" t="s">
        <v>423</v>
      </c>
      <c r="H8" s="63" t="s">
        <v>424</v>
      </c>
      <c r="I8" s="63" t="s">
        <v>425</v>
      </c>
      <c r="J8" s="63" t="s">
        <v>426</v>
      </c>
      <c r="K8" s="64"/>
      <c r="L8" s="63" t="s">
        <v>84</v>
      </c>
      <c r="M8" s="63" t="s">
        <v>427</v>
      </c>
      <c r="N8" s="63" t="s">
        <v>428</v>
      </c>
      <c r="O8" s="63" t="s">
        <v>420</v>
      </c>
      <c r="P8" s="63" t="s">
        <v>429</v>
      </c>
      <c r="Q8" s="58" t="s">
        <v>430</v>
      </c>
      <c r="R8" s="63" t="s">
        <v>431</v>
      </c>
      <c r="S8" s="63" t="s">
        <v>392</v>
      </c>
      <c r="T8" s="63" t="s">
        <v>426</v>
      </c>
      <c r="U8" s="63" t="s">
        <v>316</v>
      </c>
      <c r="V8" s="64"/>
      <c r="W8" s="64" t="s">
        <v>432</v>
      </c>
      <c r="X8" s="64"/>
      <c r="Y8" s="64"/>
      <c r="Z8" s="64"/>
      <c r="AA8" s="64"/>
      <c r="AB8" s="64"/>
      <c r="AC8" s="64"/>
      <c r="AD8" s="64"/>
      <c r="AE8" s="64"/>
      <c r="AF8" s="64"/>
      <c r="AG8" s="64"/>
    </row>
    <row r="9">
      <c r="A9" s="65">
        <v>1.0</v>
      </c>
      <c r="B9" s="66">
        <v>46204.0</v>
      </c>
      <c r="C9" s="66">
        <v>46210.0</v>
      </c>
      <c r="D9" s="67">
        <f>SUMIF('03_日々の記録'!$C:$C,A9,'03_日々の記録'!$E:$E)</f>
        <v>44</v>
      </c>
      <c r="E9" s="68"/>
      <c r="F9" s="68"/>
      <c r="G9" s="69"/>
      <c r="H9" s="69"/>
      <c r="I9" s="69" t="s">
        <v>396</v>
      </c>
      <c r="J9" s="70"/>
      <c r="K9" s="65"/>
      <c r="L9" s="65">
        <v>1.0</v>
      </c>
      <c r="M9" s="66">
        <v>46204.0</v>
      </c>
      <c r="N9" s="66">
        <v>46234.0</v>
      </c>
      <c r="O9" s="67">
        <f>SUMIF('03_日々の記録'!$D:$D,L9,'03_日々の記録'!$E:$E)</f>
        <v>44</v>
      </c>
      <c r="P9" s="69"/>
      <c r="Q9" s="71"/>
      <c r="R9" s="69"/>
      <c r="S9" s="72" t="s">
        <v>396</v>
      </c>
      <c r="T9" s="73"/>
      <c r="U9" s="74"/>
      <c r="V9" s="7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</row>
    <row r="10">
      <c r="A10" s="65">
        <v>2.0</v>
      </c>
      <c r="B10" s="66">
        <v>46211.0</v>
      </c>
      <c r="C10" s="66">
        <v>46217.0</v>
      </c>
      <c r="D10" s="67">
        <f>SUMIF('03_日々の記録'!$C:$C,A10,'03_日々の記録'!$E:$E)</f>
        <v>0</v>
      </c>
      <c r="E10" s="68"/>
      <c r="F10" s="68"/>
      <c r="G10" s="69"/>
      <c r="H10" s="69"/>
      <c r="I10" s="69" t="s">
        <v>396</v>
      </c>
      <c r="J10" s="70"/>
      <c r="K10" s="65"/>
      <c r="L10" s="65">
        <v>2.0</v>
      </c>
      <c r="M10" s="66">
        <v>46235.0</v>
      </c>
      <c r="N10" s="66">
        <v>46265.0</v>
      </c>
      <c r="O10" s="67">
        <f>SUMIF('03_日々の記録'!$D:$D,L10,'03_日々の記録'!$E:$E)</f>
        <v>0</v>
      </c>
      <c r="P10" s="69"/>
      <c r="Q10" s="71"/>
      <c r="R10" s="69"/>
      <c r="S10" s="72" t="s">
        <v>396</v>
      </c>
      <c r="T10" s="73"/>
      <c r="U10" s="74"/>
      <c r="V10" s="7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</row>
    <row r="11">
      <c r="A11" s="65">
        <v>3.0</v>
      </c>
      <c r="B11" s="66">
        <v>46218.0</v>
      </c>
      <c r="C11" s="66">
        <v>46224.0</v>
      </c>
      <c r="D11" s="67">
        <f>SUMIF('03_日々の記録'!$C:$C,A11,'03_日々の記録'!$E:$E)</f>
        <v>0</v>
      </c>
      <c r="E11" s="68"/>
      <c r="F11" s="68"/>
      <c r="G11" s="69"/>
      <c r="H11" s="69"/>
      <c r="I11" s="69" t="s">
        <v>396</v>
      </c>
      <c r="J11" s="70"/>
      <c r="K11" s="65"/>
      <c r="L11" s="65">
        <v>3.0</v>
      </c>
      <c r="M11" s="66">
        <v>46266.0</v>
      </c>
      <c r="N11" s="66">
        <v>46295.0</v>
      </c>
      <c r="O11" s="67">
        <f>SUMIF('03_日々の記録'!$D:$D,L11,'03_日々の記録'!$E:$E)</f>
        <v>0</v>
      </c>
      <c r="P11" s="69"/>
      <c r="Q11" s="71"/>
      <c r="R11" s="69"/>
      <c r="S11" s="72" t="s">
        <v>396</v>
      </c>
      <c r="T11" s="73"/>
      <c r="U11" s="74"/>
      <c r="V11" s="7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</row>
    <row r="12">
      <c r="A12" s="65">
        <v>4.0</v>
      </c>
      <c r="B12" s="66">
        <v>46225.0</v>
      </c>
      <c r="C12" s="66">
        <v>46231.0</v>
      </c>
      <c r="D12" s="67">
        <f>SUMIF('03_日々の記録'!$C:$C,A12,'03_日々の記録'!$E:$E)</f>
        <v>0</v>
      </c>
      <c r="E12" s="68"/>
      <c r="F12" s="68"/>
      <c r="G12" s="69"/>
      <c r="H12" s="69"/>
      <c r="I12" s="69" t="s">
        <v>396</v>
      </c>
      <c r="J12" s="70"/>
      <c r="K12" s="65"/>
      <c r="L12" s="65">
        <v>4.0</v>
      </c>
      <c r="M12" s="66">
        <v>46296.0</v>
      </c>
      <c r="N12" s="66">
        <v>46326.0</v>
      </c>
      <c r="O12" s="67">
        <f>SUMIF('03_日々の記録'!$D:$D,L12,'03_日々の記録'!$E:$E)</f>
        <v>0</v>
      </c>
      <c r="P12" s="69"/>
      <c r="Q12" s="71"/>
      <c r="R12" s="69"/>
      <c r="S12" s="72" t="s">
        <v>396</v>
      </c>
      <c r="T12" s="73"/>
      <c r="U12" s="74"/>
      <c r="V12" s="7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</row>
    <row r="13">
      <c r="A13" s="65">
        <v>5.0</v>
      </c>
      <c r="B13" s="66">
        <v>46232.0</v>
      </c>
      <c r="C13" s="66">
        <v>46238.0</v>
      </c>
      <c r="D13" s="67">
        <f>SUMIF('03_日々の記録'!$C:$C,A13,'03_日々の記録'!$E:$E)</f>
        <v>0</v>
      </c>
      <c r="E13" s="68"/>
      <c r="F13" s="68"/>
      <c r="G13" s="69"/>
      <c r="H13" s="69"/>
      <c r="I13" s="69" t="s">
        <v>396</v>
      </c>
      <c r="J13" s="70"/>
      <c r="K13" s="65"/>
      <c r="L13" s="65">
        <v>5.0</v>
      </c>
      <c r="M13" s="66">
        <v>46327.0</v>
      </c>
      <c r="N13" s="66">
        <v>46356.0</v>
      </c>
      <c r="O13" s="67">
        <f>SUMIF('03_日々の記録'!$D:$D,L13,'03_日々の記録'!$E:$E)</f>
        <v>0</v>
      </c>
      <c r="P13" s="69"/>
      <c r="Q13" s="71"/>
      <c r="R13" s="69"/>
      <c r="S13" s="72" t="s">
        <v>396</v>
      </c>
      <c r="T13" s="73"/>
      <c r="U13" s="74"/>
      <c r="V13" s="7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</row>
    <row r="14">
      <c r="A14" s="65">
        <v>6.0</v>
      </c>
      <c r="B14" s="66">
        <v>46239.0</v>
      </c>
      <c r="C14" s="66">
        <v>46245.0</v>
      </c>
      <c r="D14" s="67">
        <f>SUMIF('03_日々の記録'!$C:$C,A14,'03_日々の記録'!$E:$E)</f>
        <v>0</v>
      </c>
      <c r="E14" s="68"/>
      <c r="F14" s="68"/>
      <c r="G14" s="69"/>
      <c r="H14" s="69"/>
      <c r="I14" s="69" t="s">
        <v>396</v>
      </c>
      <c r="J14" s="70"/>
      <c r="K14" s="65"/>
      <c r="L14" s="65">
        <v>6.0</v>
      </c>
      <c r="M14" s="66">
        <v>46357.0</v>
      </c>
      <c r="N14" s="66">
        <v>46387.0</v>
      </c>
      <c r="O14" s="67">
        <f>SUMIF('03_日々の記録'!$D:$D,L14,'03_日々の記録'!$E:$E)</f>
        <v>0</v>
      </c>
      <c r="P14" s="69"/>
      <c r="Q14" s="71"/>
      <c r="R14" s="69"/>
      <c r="S14" s="72" t="s">
        <v>396</v>
      </c>
      <c r="T14" s="73"/>
      <c r="U14" s="74"/>
      <c r="V14" s="7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</row>
    <row r="15">
      <c r="A15" s="65">
        <v>7.0</v>
      </c>
      <c r="B15" s="66">
        <v>46246.0</v>
      </c>
      <c r="C15" s="66">
        <v>46252.0</v>
      </c>
      <c r="D15" s="67">
        <f>SUMIF('03_日々の記録'!$C:$C,A15,'03_日々の記録'!$E:$E)</f>
        <v>0</v>
      </c>
      <c r="E15" s="68"/>
      <c r="F15" s="68"/>
      <c r="G15" s="69"/>
      <c r="H15" s="69"/>
      <c r="I15" s="69" t="s">
        <v>396</v>
      </c>
      <c r="J15" s="70"/>
      <c r="K15" s="65"/>
      <c r="L15" s="65">
        <v>7.0</v>
      </c>
      <c r="M15" s="66">
        <v>46388.0</v>
      </c>
      <c r="N15" s="66">
        <v>46418.0</v>
      </c>
      <c r="O15" s="67">
        <f>SUMIF('03_日々の記録'!$D:$D,L15,'03_日々の記録'!$E:$E)</f>
        <v>0</v>
      </c>
      <c r="P15" s="69"/>
      <c r="Q15" s="71"/>
      <c r="R15" s="69"/>
      <c r="S15" s="72" t="s">
        <v>396</v>
      </c>
      <c r="T15" s="73"/>
      <c r="U15" s="74"/>
      <c r="V15" s="7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</row>
    <row r="16">
      <c r="A16" s="65">
        <v>8.0</v>
      </c>
      <c r="B16" s="66">
        <v>46253.0</v>
      </c>
      <c r="C16" s="66">
        <v>46259.0</v>
      </c>
      <c r="D16" s="67">
        <f>SUMIF('03_日々の記録'!$C:$C,A16,'03_日々の記録'!$E:$E)</f>
        <v>0</v>
      </c>
      <c r="E16" s="68"/>
      <c r="F16" s="68"/>
      <c r="G16" s="69"/>
      <c r="H16" s="69"/>
      <c r="I16" s="69" t="s">
        <v>396</v>
      </c>
      <c r="J16" s="70"/>
      <c r="K16" s="65"/>
      <c r="L16" s="65">
        <v>8.0</v>
      </c>
      <c r="M16" s="66">
        <v>46419.0</v>
      </c>
      <c r="N16" s="66">
        <v>46446.0</v>
      </c>
      <c r="O16" s="67">
        <f>SUMIF('03_日々の記録'!$D:$D,L16,'03_日々の記録'!$E:$E)</f>
        <v>0</v>
      </c>
      <c r="P16" s="69"/>
      <c r="Q16" s="71"/>
      <c r="R16" s="69"/>
      <c r="S16" s="72" t="s">
        <v>396</v>
      </c>
      <c r="T16" s="73"/>
      <c r="U16" s="74"/>
      <c r="V16" s="7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</row>
    <row r="17">
      <c r="A17" s="65">
        <v>9.0</v>
      </c>
      <c r="B17" s="66">
        <v>46260.0</v>
      </c>
      <c r="C17" s="66">
        <v>46266.0</v>
      </c>
      <c r="D17" s="67">
        <f>SUMIF('03_日々の記録'!$C:$C,A17,'03_日々の記録'!$E:$E)</f>
        <v>0</v>
      </c>
      <c r="E17" s="68"/>
      <c r="F17" s="68"/>
      <c r="G17" s="69"/>
      <c r="H17" s="69"/>
      <c r="I17" s="69" t="s">
        <v>396</v>
      </c>
      <c r="J17" s="70"/>
      <c r="K17" s="65"/>
      <c r="L17" s="65">
        <v>9.0</v>
      </c>
      <c r="M17" s="66">
        <v>46447.0</v>
      </c>
      <c r="N17" s="66">
        <v>46477.0</v>
      </c>
      <c r="O17" s="67">
        <f>SUMIF('03_日々の記録'!$D:$D,L17,'03_日々の記録'!$E:$E)</f>
        <v>0</v>
      </c>
      <c r="P17" s="69"/>
      <c r="Q17" s="71"/>
      <c r="R17" s="69"/>
      <c r="S17" s="72" t="s">
        <v>396</v>
      </c>
      <c r="T17" s="73"/>
      <c r="U17" s="74"/>
      <c r="V17" s="7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</row>
    <row r="18">
      <c r="A18" s="65">
        <v>10.0</v>
      </c>
      <c r="B18" s="66">
        <v>46267.0</v>
      </c>
      <c r="C18" s="66">
        <v>46273.0</v>
      </c>
      <c r="D18" s="67">
        <f>SUMIF('03_日々の記録'!$C:$C,A18,'03_日々の記録'!$E:$E)</f>
        <v>0</v>
      </c>
      <c r="E18" s="68"/>
      <c r="F18" s="68"/>
      <c r="G18" s="69"/>
      <c r="H18" s="69"/>
      <c r="I18" s="69" t="s">
        <v>396</v>
      </c>
      <c r="J18" s="70"/>
      <c r="K18" s="65"/>
      <c r="L18" s="65">
        <v>10.0</v>
      </c>
      <c r="M18" s="66">
        <v>46478.0</v>
      </c>
      <c r="N18" s="66">
        <v>46507.0</v>
      </c>
      <c r="O18" s="67">
        <f>SUMIF('03_日々の記録'!$D:$D,L18,'03_日々の記録'!$E:$E)</f>
        <v>0</v>
      </c>
      <c r="P18" s="69"/>
      <c r="Q18" s="71"/>
      <c r="R18" s="69"/>
      <c r="S18" s="72" t="s">
        <v>396</v>
      </c>
      <c r="T18" s="73"/>
      <c r="U18" s="74"/>
      <c r="V18" s="7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</row>
    <row r="19">
      <c r="A19" s="65">
        <v>11.0</v>
      </c>
      <c r="B19" s="66">
        <v>46274.0</v>
      </c>
      <c r="C19" s="66">
        <v>46280.0</v>
      </c>
      <c r="D19" s="67">
        <f>SUMIF('03_日々の記録'!$C:$C,A19,'03_日々の記録'!$E:$E)</f>
        <v>0</v>
      </c>
      <c r="E19" s="68"/>
      <c r="F19" s="68"/>
      <c r="G19" s="69"/>
      <c r="H19" s="69"/>
      <c r="I19" s="69" t="s">
        <v>396</v>
      </c>
      <c r="J19" s="70"/>
      <c r="K19" s="65"/>
      <c r="L19" s="65">
        <v>11.0</v>
      </c>
      <c r="M19" s="66">
        <v>46508.0</v>
      </c>
      <c r="N19" s="66">
        <v>46538.0</v>
      </c>
      <c r="O19" s="67">
        <f>SUMIF('03_日々の記録'!$D:$D,L19,'03_日々の記録'!$E:$E)</f>
        <v>0</v>
      </c>
      <c r="P19" s="69"/>
      <c r="Q19" s="71"/>
      <c r="R19" s="69"/>
      <c r="S19" s="72" t="s">
        <v>396</v>
      </c>
      <c r="T19" s="73"/>
      <c r="U19" s="74"/>
      <c r="V19" s="7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</row>
    <row r="20">
      <c r="A20" s="65">
        <v>12.0</v>
      </c>
      <c r="B20" s="66">
        <v>46281.0</v>
      </c>
      <c r="C20" s="66">
        <v>46287.0</v>
      </c>
      <c r="D20" s="67">
        <f>SUMIF('03_日々の記録'!$C:$C,A20,'03_日々の記録'!$E:$E)</f>
        <v>0</v>
      </c>
      <c r="E20" s="68"/>
      <c r="F20" s="68"/>
      <c r="G20" s="69"/>
      <c r="H20" s="69"/>
      <c r="I20" s="69" t="s">
        <v>396</v>
      </c>
      <c r="J20" s="70"/>
      <c r="K20" s="65"/>
      <c r="L20" s="65">
        <v>12.0</v>
      </c>
      <c r="M20" s="66">
        <v>46539.0</v>
      </c>
      <c r="N20" s="66">
        <v>46568.0</v>
      </c>
      <c r="O20" s="67">
        <f>SUMIF('03_日々の記録'!$D:$D,L20,'03_日々の記録'!$E:$E)</f>
        <v>0</v>
      </c>
      <c r="P20" s="69"/>
      <c r="Q20" s="71"/>
      <c r="R20" s="69"/>
      <c r="S20" s="72" t="s">
        <v>396</v>
      </c>
      <c r="T20" s="73"/>
      <c r="U20" s="74"/>
      <c r="V20" s="7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</row>
    <row r="21" ht="15.75" customHeight="1">
      <c r="A21" s="65">
        <v>13.0</v>
      </c>
      <c r="B21" s="66">
        <v>46288.0</v>
      </c>
      <c r="C21" s="66">
        <v>46294.0</v>
      </c>
      <c r="D21" s="67">
        <f>SUMIF('03_日々の記録'!$C:$C,A21,'03_日々の記録'!$E:$E)</f>
        <v>0</v>
      </c>
      <c r="E21" s="68"/>
      <c r="F21" s="68"/>
      <c r="G21" s="69"/>
      <c r="H21" s="69"/>
      <c r="I21" s="69" t="s">
        <v>396</v>
      </c>
      <c r="J21" s="70"/>
      <c r="K21" s="65"/>
      <c r="L21" s="65">
        <v>13.0</v>
      </c>
      <c r="M21" s="66">
        <v>46569.0</v>
      </c>
      <c r="N21" s="66">
        <v>46599.0</v>
      </c>
      <c r="O21" s="67">
        <f>SUMIF('03_日々の記録'!$D:$D,L21,'03_日々の記録'!$E:$E)</f>
        <v>0</v>
      </c>
      <c r="P21" s="69"/>
      <c r="Q21" s="71"/>
      <c r="R21" s="69"/>
      <c r="S21" s="72" t="s">
        <v>396</v>
      </c>
      <c r="T21" s="73"/>
      <c r="U21" s="74"/>
      <c r="V21" s="7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</row>
    <row r="22" ht="15.75" customHeight="1">
      <c r="A22" s="65">
        <v>14.0</v>
      </c>
      <c r="B22" s="66">
        <v>46295.0</v>
      </c>
      <c r="C22" s="66">
        <v>46301.0</v>
      </c>
      <c r="D22" s="67">
        <f>SUMIF('03_日々の記録'!$C:$C,A22,'03_日々の記録'!$E:$E)</f>
        <v>0</v>
      </c>
      <c r="E22" s="68"/>
      <c r="F22" s="68"/>
      <c r="G22" s="69"/>
      <c r="H22" s="69"/>
      <c r="I22" s="69" t="s">
        <v>396</v>
      </c>
      <c r="J22" s="70"/>
      <c r="K22" s="65"/>
      <c r="L22" s="65">
        <v>14.0</v>
      </c>
      <c r="M22" s="66">
        <v>46600.0</v>
      </c>
      <c r="N22" s="66">
        <v>46630.0</v>
      </c>
      <c r="O22" s="67">
        <f>SUMIF('03_日々の記録'!$D:$D,L22,'03_日々の記録'!$E:$E)</f>
        <v>0</v>
      </c>
      <c r="P22" s="69"/>
      <c r="Q22" s="71"/>
      <c r="R22" s="69"/>
      <c r="S22" s="72" t="s">
        <v>396</v>
      </c>
      <c r="T22" s="73"/>
      <c r="U22" s="74"/>
      <c r="V22" s="7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</row>
    <row r="23" ht="15.75" customHeight="1">
      <c r="A23" s="65">
        <v>15.0</v>
      </c>
      <c r="B23" s="66">
        <v>46302.0</v>
      </c>
      <c r="C23" s="66">
        <v>46308.0</v>
      </c>
      <c r="D23" s="67">
        <f>SUMIF('03_日々の記録'!$C:$C,A23,'03_日々の記録'!$E:$E)</f>
        <v>0</v>
      </c>
      <c r="E23" s="68"/>
      <c r="F23" s="68"/>
      <c r="G23" s="69"/>
      <c r="H23" s="69"/>
      <c r="I23" s="69" t="s">
        <v>396</v>
      </c>
      <c r="J23" s="70"/>
      <c r="K23" s="65"/>
      <c r="L23" s="65">
        <v>15.0</v>
      </c>
      <c r="M23" s="66">
        <v>46631.0</v>
      </c>
      <c r="N23" s="66">
        <v>46660.0</v>
      </c>
      <c r="O23" s="67">
        <f>SUMIF('03_日々の記録'!$D:$D,L23,'03_日々の記録'!$E:$E)</f>
        <v>0</v>
      </c>
      <c r="P23" s="69"/>
      <c r="Q23" s="71"/>
      <c r="R23" s="69"/>
      <c r="S23" s="72" t="s">
        <v>396</v>
      </c>
      <c r="T23" s="73"/>
      <c r="U23" s="74"/>
      <c r="V23" s="7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</row>
    <row r="24" ht="15.75" customHeight="1">
      <c r="A24" s="65">
        <v>16.0</v>
      </c>
      <c r="B24" s="66">
        <v>46309.0</v>
      </c>
      <c r="C24" s="66">
        <v>46315.0</v>
      </c>
      <c r="D24" s="67">
        <f>SUMIF('03_日々の記録'!$C:$C,A24,'03_日々の記録'!$E:$E)</f>
        <v>0</v>
      </c>
      <c r="E24" s="68"/>
      <c r="F24" s="68"/>
      <c r="G24" s="69"/>
      <c r="H24" s="69"/>
      <c r="I24" s="69" t="s">
        <v>396</v>
      </c>
      <c r="J24" s="70"/>
      <c r="K24" s="65"/>
      <c r="L24" s="65">
        <v>16.0</v>
      </c>
      <c r="M24" s="66">
        <v>46661.0</v>
      </c>
      <c r="N24" s="66">
        <v>46691.0</v>
      </c>
      <c r="O24" s="67">
        <f>SUMIF('03_日々の記録'!$D:$D,L24,'03_日々の記録'!$E:$E)</f>
        <v>0</v>
      </c>
      <c r="P24" s="69"/>
      <c r="Q24" s="71"/>
      <c r="R24" s="69"/>
      <c r="S24" s="72" t="s">
        <v>396</v>
      </c>
      <c r="T24" s="73"/>
      <c r="U24" s="74"/>
      <c r="V24" s="7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</row>
    <row r="25" ht="15.75" customHeight="1">
      <c r="A25" s="65">
        <v>17.0</v>
      </c>
      <c r="B25" s="66">
        <v>46316.0</v>
      </c>
      <c r="C25" s="66">
        <v>46322.0</v>
      </c>
      <c r="D25" s="67">
        <f>SUMIF('03_日々の記録'!$C:$C,A25,'03_日々の記録'!$E:$E)</f>
        <v>0</v>
      </c>
      <c r="E25" s="68"/>
      <c r="F25" s="68"/>
      <c r="G25" s="69"/>
      <c r="H25" s="69"/>
      <c r="I25" s="69" t="s">
        <v>396</v>
      </c>
      <c r="J25" s="70"/>
      <c r="K25" s="65"/>
      <c r="L25" s="65">
        <v>17.0</v>
      </c>
      <c r="M25" s="66">
        <v>46692.0</v>
      </c>
      <c r="N25" s="66">
        <v>46721.0</v>
      </c>
      <c r="O25" s="67">
        <f>SUMIF('03_日々の記録'!$D:$D,L25,'03_日々の記録'!$E:$E)</f>
        <v>0</v>
      </c>
      <c r="P25" s="69"/>
      <c r="Q25" s="71"/>
      <c r="R25" s="69"/>
      <c r="S25" s="72" t="s">
        <v>396</v>
      </c>
      <c r="T25" s="73"/>
      <c r="U25" s="74"/>
      <c r="V25" s="7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</row>
    <row r="26" ht="15.75" customHeight="1">
      <c r="A26" s="65">
        <v>18.0</v>
      </c>
      <c r="B26" s="66">
        <v>46323.0</v>
      </c>
      <c r="C26" s="66">
        <v>46329.0</v>
      </c>
      <c r="D26" s="67">
        <f>SUMIF('03_日々の記録'!$C:$C,A26,'03_日々の記録'!$E:$E)</f>
        <v>0</v>
      </c>
      <c r="E26" s="68"/>
      <c r="F26" s="68"/>
      <c r="G26" s="69"/>
      <c r="H26" s="69"/>
      <c r="I26" s="69" t="s">
        <v>396</v>
      </c>
      <c r="J26" s="70"/>
      <c r="K26" s="65"/>
      <c r="L26" s="65">
        <v>18.0</v>
      </c>
      <c r="M26" s="66">
        <v>46722.0</v>
      </c>
      <c r="N26" s="66">
        <v>46752.0</v>
      </c>
      <c r="O26" s="67">
        <f>SUMIF('03_日々の記録'!$D:$D,L26,'03_日々の記録'!$E:$E)</f>
        <v>0</v>
      </c>
      <c r="P26" s="69"/>
      <c r="Q26" s="71"/>
      <c r="R26" s="69"/>
      <c r="S26" s="72" t="s">
        <v>396</v>
      </c>
      <c r="T26" s="73"/>
      <c r="U26" s="74"/>
      <c r="V26" s="7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</row>
    <row r="27" ht="15.75" customHeight="1">
      <c r="A27" s="65">
        <v>19.0</v>
      </c>
      <c r="B27" s="66">
        <v>46330.0</v>
      </c>
      <c r="C27" s="66">
        <v>46336.0</v>
      </c>
      <c r="D27" s="67">
        <f>SUMIF('03_日々の記録'!$C:$C,A27,'03_日々の記録'!$E:$E)</f>
        <v>0</v>
      </c>
      <c r="E27" s="68"/>
      <c r="F27" s="68"/>
      <c r="G27" s="69"/>
      <c r="H27" s="69"/>
      <c r="I27" s="69" t="s">
        <v>396</v>
      </c>
      <c r="J27" s="70"/>
      <c r="K27" s="65"/>
      <c r="L27" s="65">
        <v>19.0</v>
      </c>
      <c r="M27" s="66">
        <v>46753.0</v>
      </c>
      <c r="N27" s="66">
        <v>46783.0</v>
      </c>
      <c r="O27" s="67">
        <f>SUMIF('03_日々の記録'!$D:$D,L27,'03_日々の記録'!$E:$E)</f>
        <v>0</v>
      </c>
      <c r="P27" s="69"/>
      <c r="Q27" s="71"/>
      <c r="R27" s="69"/>
      <c r="S27" s="72" t="s">
        <v>396</v>
      </c>
      <c r="T27" s="73"/>
      <c r="U27" s="74"/>
      <c r="V27" s="7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</row>
    <row r="28" ht="15.75" customHeight="1">
      <c r="A28" s="65">
        <v>20.0</v>
      </c>
      <c r="B28" s="66">
        <v>46337.0</v>
      </c>
      <c r="C28" s="66">
        <v>46343.0</v>
      </c>
      <c r="D28" s="67">
        <f>SUMIF('03_日々の記録'!$C:$C,A28,'03_日々の記録'!$E:$E)</f>
        <v>0</v>
      </c>
      <c r="E28" s="68"/>
      <c r="F28" s="68"/>
      <c r="G28" s="69"/>
      <c r="H28" s="69"/>
      <c r="I28" s="69" t="s">
        <v>396</v>
      </c>
      <c r="J28" s="70"/>
      <c r="K28" s="65"/>
      <c r="L28" s="65">
        <v>20.0</v>
      </c>
      <c r="M28" s="66">
        <v>46784.0</v>
      </c>
      <c r="N28" s="66">
        <v>46812.0</v>
      </c>
      <c r="O28" s="67">
        <f>SUMIF('03_日々の記録'!$D:$D,L28,'03_日々の記録'!$E:$E)</f>
        <v>0</v>
      </c>
      <c r="P28" s="69"/>
      <c r="Q28" s="71"/>
      <c r="R28" s="69"/>
      <c r="S28" s="72" t="s">
        <v>396</v>
      </c>
      <c r="T28" s="73"/>
      <c r="U28" s="74"/>
      <c r="V28" s="7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</row>
    <row r="29" ht="15.75" customHeight="1">
      <c r="A29" s="65">
        <v>21.0</v>
      </c>
      <c r="B29" s="66">
        <v>46344.0</v>
      </c>
      <c r="C29" s="66">
        <v>46350.0</v>
      </c>
      <c r="D29" s="67">
        <f>SUMIF('03_日々の記録'!$C:$C,A29,'03_日々の記録'!$E:$E)</f>
        <v>0</v>
      </c>
      <c r="E29" s="68"/>
      <c r="F29" s="68"/>
      <c r="G29" s="69"/>
      <c r="H29" s="69"/>
      <c r="I29" s="69" t="s">
        <v>396</v>
      </c>
      <c r="J29" s="70"/>
      <c r="K29" s="65"/>
      <c r="L29" s="65">
        <v>21.0</v>
      </c>
      <c r="M29" s="66">
        <v>46813.0</v>
      </c>
      <c r="N29" s="66">
        <v>46843.0</v>
      </c>
      <c r="O29" s="67">
        <f>SUMIF('03_日々の記録'!$D:$D,L29,'03_日々の記録'!$E:$E)</f>
        <v>0</v>
      </c>
      <c r="P29" s="69"/>
      <c r="Q29" s="71"/>
      <c r="R29" s="69"/>
      <c r="S29" s="72" t="s">
        <v>396</v>
      </c>
      <c r="T29" s="73"/>
      <c r="U29" s="74"/>
      <c r="V29" s="7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</row>
    <row r="30" ht="15.75" customHeight="1">
      <c r="A30" s="65">
        <v>22.0</v>
      </c>
      <c r="B30" s="66">
        <v>46351.0</v>
      </c>
      <c r="C30" s="66">
        <v>46357.0</v>
      </c>
      <c r="D30" s="67">
        <f>SUMIF('03_日々の記録'!$C:$C,A30,'03_日々の記録'!$E:$E)</f>
        <v>0</v>
      </c>
      <c r="E30" s="68"/>
      <c r="F30" s="68"/>
      <c r="G30" s="69"/>
      <c r="H30" s="69"/>
      <c r="I30" s="69" t="s">
        <v>396</v>
      </c>
      <c r="J30" s="70"/>
      <c r="K30" s="65"/>
      <c r="L30" s="65">
        <v>22.0</v>
      </c>
      <c r="M30" s="66">
        <v>46844.0</v>
      </c>
      <c r="N30" s="66">
        <v>46873.0</v>
      </c>
      <c r="O30" s="67">
        <f>SUMIF('03_日々の記録'!$D:$D,L30,'03_日々の記録'!$E:$E)</f>
        <v>0</v>
      </c>
      <c r="P30" s="69"/>
      <c r="Q30" s="71"/>
      <c r="R30" s="69"/>
      <c r="S30" s="72" t="s">
        <v>396</v>
      </c>
      <c r="T30" s="73"/>
      <c r="U30" s="74"/>
      <c r="V30" s="7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</row>
    <row r="31" ht="15.75" customHeight="1">
      <c r="A31" s="65">
        <v>23.0</v>
      </c>
      <c r="B31" s="66">
        <v>46358.0</v>
      </c>
      <c r="C31" s="66">
        <v>46364.0</v>
      </c>
      <c r="D31" s="67">
        <f>SUMIF('03_日々の記録'!$C:$C,A31,'03_日々の記録'!$E:$E)</f>
        <v>0</v>
      </c>
      <c r="E31" s="68"/>
      <c r="F31" s="68"/>
      <c r="G31" s="69"/>
      <c r="H31" s="69"/>
      <c r="I31" s="69" t="s">
        <v>396</v>
      </c>
      <c r="J31" s="70"/>
      <c r="K31" s="65"/>
      <c r="L31" s="65">
        <v>23.0</v>
      </c>
      <c r="M31" s="66">
        <v>46874.0</v>
      </c>
      <c r="N31" s="66">
        <v>46904.0</v>
      </c>
      <c r="O31" s="67">
        <f>SUMIF('03_日々の記録'!$D:$D,L31,'03_日々の記録'!$E:$E)</f>
        <v>0</v>
      </c>
      <c r="P31" s="69"/>
      <c r="Q31" s="71"/>
      <c r="R31" s="69"/>
      <c r="S31" s="72" t="s">
        <v>396</v>
      </c>
      <c r="T31" s="73"/>
      <c r="U31" s="74"/>
      <c r="V31" s="7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</row>
    <row r="32" ht="15.75" customHeight="1">
      <c r="A32" s="65">
        <v>24.0</v>
      </c>
      <c r="B32" s="66">
        <v>46365.0</v>
      </c>
      <c r="C32" s="66">
        <v>46371.0</v>
      </c>
      <c r="D32" s="67">
        <f>SUMIF('03_日々の記録'!$C:$C,A32,'03_日々の記録'!$E:$E)</f>
        <v>0</v>
      </c>
      <c r="E32" s="68"/>
      <c r="F32" s="68"/>
      <c r="G32" s="69"/>
      <c r="H32" s="69"/>
      <c r="I32" s="69" t="s">
        <v>396</v>
      </c>
      <c r="J32" s="70"/>
      <c r="K32" s="65"/>
      <c r="L32" s="65">
        <v>24.0</v>
      </c>
      <c r="M32" s="66">
        <v>46905.0</v>
      </c>
      <c r="N32" s="66">
        <v>46934.0</v>
      </c>
      <c r="O32" s="67">
        <f>SUMIF('03_日々の記録'!$D:$D,L32,'03_日々の記録'!$E:$E)</f>
        <v>0</v>
      </c>
      <c r="P32" s="69"/>
      <c r="Q32" s="71"/>
      <c r="R32" s="69"/>
      <c r="S32" s="72" t="s">
        <v>396</v>
      </c>
      <c r="T32" s="73"/>
      <c r="U32" s="74"/>
      <c r="V32" s="7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</row>
    <row r="33" ht="15.75" customHeight="1">
      <c r="A33" s="65">
        <v>25.0</v>
      </c>
      <c r="B33" s="66">
        <v>46372.0</v>
      </c>
      <c r="C33" s="66">
        <v>46378.0</v>
      </c>
      <c r="D33" s="67">
        <f>SUMIF('03_日々の記録'!$C:$C,A33,'03_日々の記録'!$E:$E)</f>
        <v>0</v>
      </c>
      <c r="E33" s="68"/>
      <c r="F33" s="68"/>
      <c r="G33" s="69"/>
      <c r="H33" s="69"/>
      <c r="I33" s="69" t="s">
        <v>396</v>
      </c>
      <c r="J33" s="70"/>
      <c r="K33" s="65"/>
      <c r="L33" s="65"/>
      <c r="M33" s="65"/>
      <c r="N33" s="65"/>
      <c r="O33" s="65"/>
      <c r="P33" s="65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</row>
    <row r="34" ht="15.75" customHeight="1">
      <c r="A34" s="65">
        <v>26.0</v>
      </c>
      <c r="B34" s="66">
        <v>46379.0</v>
      </c>
      <c r="C34" s="66">
        <v>46385.0</v>
      </c>
      <c r="D34" s="67">
        <f>SUMIF('03_日々の記録'!$C:$C,A34,'03_日々の記録'!$E:$E)</f>
        <v>0</v>
      </c>
      <c r="E34" s="68"/>
      <c r="F34" s="68"/>
      <c r="G34" s="69"/>
      <c r="H34" s="69"/>
      <c r="I34" s="69" t="s">
        <v>396</v>
      </c>
      <c r="J34" s="70"/>
      <c r="K34" s="65"/>
      <c r="L34" s="65"/>
      <c r="M34" s="65"/>
      <c r="N34" s="65"/>
      <c r="O34" s="65"/>
      <c r="P34" s="65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</row>
    <row r="35" ht="15.75" customHeight="1">
      <c r="A35" s="65">
        <v>27.0</v>
      </c>
      <c r="B35" s="66">
        <v>46386.0</v>
      </c>
      <c r="C35" s="66">
        <v>46392.0</v>
      </c>
      <c r="D35" s="67">
        <f>SUMIF('03_日々の記録'!$C:$C,A35,'03_日々の記録'!$E:$E)</f>
        <v>0</v>
      </c>
      <c r="E35" s="68"/>
      <c r="F35" s="68"/>
      <c r="G35" s="69"/>
      <c r="H35" s="69"/>
      <c r="I35" s="69" t="s">
        <v>396</v>
      </c>
      <c r="J35" s="70"/>
      <c r="K35" s="65"/>
      <c r="L35" s="65"/>
      <c r="M35" s="65"/>
      <c r="N35" s="65"/>
      <c r="O35" s="65"/>
      <c r="P35" s="65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</row>
    <row r="36" ht="15.75" customHeight="1">
      <c r="A36" s="65">
        <v>28.0</v>
      </c>
      <c r="B36" s="66">
        <v>46393.0</v>
      </c>
      <c r="C36" s="66">
        <v>46399.0</v>
      </c>
      <c r="D36" s="67">
        <f>SUMIF('03_日々の記録'!$C:$C,A36,'03_日々の記録'!$E:$E)</f>
        <v>0</v>
      </c>
      <c r="E36" s="68"/>
      <c r="F36" s="68"/>
      <c r="G36" s="69"/>
      <c r="H36" s="69"/>
      <c r="I36" s="69" t="s">
        <v>396</v>
      </c>
      <c r="J36" s="70"/>
      <c r="K36" s="65"/>
      <c r="L36" s="65"/>
      <c r="M36" s="65"/>
      <c r="N36" s="65"/>
      <c r="O36" s="65"/>
      <c r="P36" s="65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</row>
    <row r="37" ht="15.75" customHeight="1">
      <c r="A37" s="65">
        <v>29.0</v>
      </c>
      <c r="B37" s="66">
        <v>46400.0</v>
      </c>
      <c r="C37" s="66">
        <v>46406.0</v>
      </c>
      <c r="D37" s="67">
        <f>SUMIF('03_日々の記録'!$C:$C,A37,'03_日々の記録'!$E:$E)</f>
        <v>0</v>
      </c>
      <c r="E37" s="68"/>
      <c r="F37" s="68"/>
      <c r="G37" s="69"/>
      <c r="H37" s="69"/>
      <c r="I37" s="69" t="s">
        <v>396</v>
      </c>
      <c r="J37" s="70"/>
      <c r="K37" s="65"/>
      <c r="L37" s="65"/>
      <c r="M37" s="65"/>
      <c r="N37" s="65"/>
      <c r="O37" s="65"/>
      <c r="P37" s="65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</row>
    <row r="38" ht="15.75" customHeight="1">
      <c r="A38" s="65">
        <v>30.0</v>
      </c>
      <c r="B38" s="66">
        <v>46407.0</v>
      </c>
      <c r="C38" s="66">
        <v>46413.0</v>
      </c>
      <c r="D38" s="67">
        <f>SUMIF('03_日々の記録'!$C:$C,A38,'03_日々の記録'!$E:$E)</f>
        <v>0</v>
      </c>
      <c r="E38" s="68"/>
      <c r="F38" s="68"/>
      <c r="G38" s="69"/>
      <c r="H38" s="69"/>
      <c r="I38" s="69" t="s">
        <v>396</v>
      </c>
      <c r="J38" s="70"/>
      <c r="K38" s="65"/>
      <c r="L38" s="65"/>
      <c r="M38" s="65"/>
      <c r="N38" s="65"/>
      <c r="O38" s="65"/>
      <c r="P38" s="65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</row>
    <row r="39" ht="15.75" customHeight="1">
      <c r="A39" s="65">
        <v>31.0</v>
      </c>
      <c r="B39" s="66">
        <v>46414.0</v>
      </c>
      <c r="C39" s="66">
        <v>46420.0</v>
      </c>
      <c r="D39" s="67">
        <f>SUMIF('03_日々の記録'!$C:$C,A39,'03_日々の記録'!$E:$E)</f>
        <v>0</v>
      </c>
      <c r="E39" s="68"/>
      <c r="F39" s="68"/>
      <c r="G39" s="69"/>
      <c r="H39" s="69"/>
      <c r="I39" s="69" t="s">
        <v>396</v>
      </c>
      <c r="J39" s="70"/>
      <c r="K39" s="65"/>
      <c r="L39" s="65"/>
      <c r="M39" s="65"/>
      <c r="N39" s="65"/>
      <c r="O39" s="65"/>
      <c r="P39" s="65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</row>
    <row r="40" ht="15.75" customHeight="1">
      <c r="A40" s="65">
        <v>32.0</v>
      </c>
      <c r="B40" s="66">
        <v>46421.0</v>
      </c>
      <c r="C40" s="66">
        <v>46427.0</v>
      </c>
      <c r="D40" s="67">
        <f>SUMIF('03_日々の記録'!$C:$C,A40,'03_日々の記録'!$E:$E)</f>
        <v>0</v>
      </c>
      <c r="E40" s="68"/>
      <c r="F40" s="68"/>
      <c r="G40" s="69"/>
      <c r="H40" s="69"/>
      <c r="I40" s="69" t="s">
        <v>396</v>
      </c>
      <c r="J40" s="70"/>
      <c r="K40" s="65"/>
      <c r="L40" s="65"/>
      <c r="M40" s="65"/>
      <c r="N40" s="65"/>
      <c r="O40" s="65"/>
      <c r="P40" s="65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</row>
    <row r="41" ht="15.75" customHeight="1">
      <c r="A41" s="65">
        <v>33.0</v>
      </c>
      <c r="B41" s="66">
        <v>46428.0</v>
      </c>
      <c r="C41" s="66">
        <v>46434.0</v>
      </c>
      <c r="D41" s="67">
        <f>SUMIF('03_日々の記録'!$C:$C,A41,'03_日々の記録'!$E:$E)</f>
        <v>0</v>
      </c>
      <c r="E41" s="68"/>
      <c r="F41" s="68"/>
      <c r="G41" s="69"/>
      <c r="H41" s="69"/>
      <c r="I41" s="69" t="s">
        <v>396</v>
      </c>
      <c r="J41" s="70"/>
      <c r="K41" s="65"/>
      <c r="L41" s="65"/>
      <c r="M41" s="65"/>
      <c r="N41" s="65"/>
      <c r="O41" s="65"/>
      <c r="P41" s="65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</row>
    <row r="42" ht="15.75" customHeight="1">
      <c r="A42" s="65">
        <v>34.0</v>
      </c>
      <c r="B42" s="66">
        <v>46435.0</v>
      </c>
      <c r="C42" s="66">
        <v>46441.0</v>
      </c>
      <c r="D42" s="67">
        <f>SUMIF('03_日々の記録'!$C:$C,A42,'03_日々の記録'!$E:$E)</f>
        <v>0</v>
      </c>
      <c r="E42" s="68"/>
      <c r="F42" s="68"/>
      <c r="G42" s="69"/>
      <c r="H42" s="69"/>
      <c r="I42" s="69" t="s">
        <v>396</v>
      </c>
      <c r="J42" s="70"/>
      <c r="K42" s="65"/>
      <c r="L42" s="65"/>
      <c r="M42" s="65"/>
      <c r="N42" s="65"/>
      <c r="O42" s="65"/>
      <c r="P42" s="65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</row>
    <row r="43" ht="15.75" customHeight="1">
      <c r="A43" s="65">
        <v>35.0</v>
      </c>
      <c r="B43" s="66">
        <v>46442.0</v>
      </c>
      <c r="C43" s="66">
        <v>46448.0</v>
      </c>
      <c r="D43" s="67">
        <f>SUMIF('03_日々の記録'!$C:$C,A43,'03_日々の記録'!$E:$E)</f>
        <v>0</v>
      </c>
      <c r="E43" s="68"/>
      <c r="F43" s="68"/>
      <c r="G43" s="69"/>
      <c r="H43" s="69"/>
      <c r="I43" s="69" t="s">
        <v>396</v>
      </c>
      <c r="J43" s="70"/>
      <c r="K43" s="65"/>
      <c r="L43" s="65"/>
      <c r="M43" s="65"/>
      <c r="N43" s="65"/>
      <c r="O43" s="65"/>
      <c r="P43" s="65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</row>
    <row r="44" ht="15.75" customHeight="1">
      <c r="A44" s="65">
        <v>36.0</v>
      </c>
      <c r="B44" s="66">
        <v>46449.0</v>
      </c>
      <c r="C44" s="66">
        <v>46455.0</v>
      </c>
      <c r="D44" s="67">
        <f>SUMIF('03_日々の記録'!$C:$C,A44,'03_日々の記録'!$E:$E)</f>
        <v>0</v>
      </c>
      <c r="E44" s="68"/>
      <c r="F44" s="68"/>
      <c r="G44" s="69"/>
      <c r="H44" s="69"/>
      <c r="I44" s="69" t="s">
        <v>396</v>
      </c>
      <c r="J44" s="70"/>
      <c r="K44" s="65"/>
      <c r="L44" s="65"/>
      <c r="M44" s="65"/>
      <c r="N44" s="65"/>
      <c r="O44" s="65"/>
      <c r="P44" s="65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</row>
    <row r="45" ht="15.75" customHeight="1">
      <c r="A45" s="65">
        <v>37.0</v>
      </c>
      <c r="B45" s="66">
        <v>46456.0</v>
      </c>
      <c r="C45" s="66">
        <v>46462.0</v>
      </c>
      <c r="D45" s="67">
        <f>SUMIF('03_日々の記録'!$C:$C,A45,'03_日々の記録'!$E:$E)</f>
        <v>0</v>
      </c>
      <c r="E45" s="68"/>
      <c r="F45" s="68"/>
      <c r="G45" s="69"/>
      <c r="H45" s="69"/>
      <c r="I45" s="69" t="s">
        <v>396</v>
      </c>
      <c r="J45" s="70"/>
      <c r="K45" s="65"/>
      <c r="L45" s="65"/>
      <c r="M45" s="65"/>
      <c r="N45" s="65"/>
      <c r="O45" s="65"/>
      <c r="P45" s="65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</row>
    <row r="46" ht="15.75" customHeight="1">
      <c r="A46" s="65">
        <v>38.0</v>
      </c>
      <c r="B46" s="66">
        <v>46463.0</v>
      </c>
      <c r="C46" s="66">
        <v>46469.0</v>
      </c>
      <c r="D46" s="67">
        <f>SUMIF('03_日々の記録'!$C:$C,A46,'03_日々の記録'!$E:$E)</f>
        <v>0</v>
      </c>
      <c r="E46" s="68"/>
      <c r="F46" s="68"/>
      <c r="G46" s="69"/>
      <c r="H46" s="69"/>
      <c r="I46" s="69" t="s">
        <v>396</v>
      </c>
      <c r="J46" s="70"/>
      <c r="K46" s="65"/>
      <c r="L46" s="65"/>
      <c r="M46" s="65"/>
      <c r="N46" s="65"/>
      <c r="O46" s="65"/>
      <c r="P46" s="65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</row>
    <row r="47" ht="15.75" customHeight="1">
      <c r="A47" s="65">
        <v>39.0</v>
      </c>
      <c r="B47" s="66">
        <v>46470.0</v>
      </c>
      <c r="C47" s="66">
        <v>46476.0</v>
      </c>
      <c r="D47" s="67">
        <f>SUMIF('03_日々の記録'!$C:$C,A47,'03_日々の記録'!$E:$E)</f>
        <v>0</v>
      </c>
      <c r="E47" s="68"/>
      <c r="F47" s="68"/>
      <c r="G47" s="69"/>
      <c r="H47" s="69"/>
      <c r="I47" s="69" t="s">
        <v>396</v>
      </c>
      <c r="J47" s="70"/>
      <c r="K47" s="65"/>
      <c r="L47" s="65"/>
      <c r="M47" s="65"/>
      <c r="N47" s="65"/>
      <c r="O47" s="65"/>
      <c r="P47" s="65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</row>
    <row r="48" ht="15.75" customHeight="1">
      <c r="A48" s="65">
        <v>40.0</v>
      </c>
      <c r="B48" s="66">
        <v>46477.0</v>
      </c>
      <c r="C48" s="66">
        <v>46483.0</v>
      </c>
      <c r="D48" s="67">
        <f>SUMIF('03_日々の記録'!$C:$C,A48,'03_日々の記録'!$E:$E)</f>
        <v>0</v>
      </c>
      <c r="E48" s="68"/>
      <c r="F48" s="68"/>
      <c r="G48" s="69"/>
      <c r="H48" s="69"/>
      <c r="I48" s="69" t="s">
        <v>396</v>
      </c>
      <c r="J48" s="70"/>
      <c r="K48" s="65"/>
      <c r="L48" s="65"/>
      <c r="M48" s="65"/>
      <c r="N48" s="65"/>
      <c r="O48" s="65"/>
      <c r="P48" s="65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</row>
    <row r="49" ht="15.75" customHeight="1">
      <c r="A49" s="65">
        <v>41.0</v>
      </c>
      <c r="B49" s="66">
        <v>46484.0</v>
      </c>
      <c r="C49" s="66">
        <v>46490.0</v>
      </c>
      <c r="D49" s="67">
        <f>SUMIF('03_日々の記録'!$C:$C,A49,'03_日々の記録'!$E:$E)</f>
        <v>0</v>
      </c>
      <c r="E49" s="68"/>
      <c r="F49" s="68"/>
      <c r="G49" s="69"/>
      <c r="H49" s="69"/>
      <c r="I49" s="69" t="s">
        <v>396</v>
      </c>
      <c r="J49" s="70"/>
      <c r="K49" s="65"/>
      <c r="L49" s="65"/>
      <c r="M49" s="65"/>
      <c r="N49" s="65"/>
      <c r="O49" s="65"/>
      <c r="P49" s="65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</row>
    <row r="50" ht="15.75" customHeight="1">
      <c r="A50" s="65">
        <v>42.0</v>
      </c>
      <c r="B50" s="66">
        <v>46491.0</v>
      </c>
      <c r="C50" s="66">
        <v>46497.0</v>
      </c>
      <c r="D50" s="67">
        <f>SUMIF('03_日々の記録'!$C:$C,A50,'03_日々の記録'!$E:$E)</f>
        <v>0</v>
      </c>
      <c r="E50" s="68"/>
      <c r="F50" s="68"/>
      <c r="G50" s="69"/>
      <c r="H50" s="69"/>
      <c r="I50" s="69" t="s">
        <v>396</v>
      </c>
      <c r="J50" s="70"/>
      <c r="K50" s="65"/>
      <c r="L50" s="65"/>
      <c r="M50" s="65"/>
      <c r="N50" s="65"/>
      <c r="O50" s="65"/>
      <c r="P50" s="65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</row>
    <row r="51" ht="15.75" customHeight="1">
      <c r="A51" s="65">
        <v>43.0</v>
      </c>
      <c r="B51" s="66">
        <v>46498.0</v>
      </c>
      <c r="C51" s="66">
        <v>46504.0</v>
      </c>
      <c r="D51" s="67">
        <f>SUMIF('03_日々の記録'!$C:$C,A51,'03_日々の記録'!$E:$E)</f>
        <v>0</v>
      </c>
      <c r="E51" s="68"/>
      <c r="F51" s="68"/>
      <c r="G51" s="69"/>
      <c r="H51" s="69"/>
      <c r="I51" s="69" t="s">
        <v>396</v>
      </c>
      <c r="J51" s="70"/>
      <c r="K51" s="65"/>
      <c r="L51" s="65"/>
      <c r="M51" s="65"/>
      <c r="N51" s="65"/>
      <c r="O51" s="65"/>
      <c r="P51" s="65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</row>
    <row r="52" ht="15.75" customHeight="1">
      <c r="A52" s="65">
        <v>44.0</v>
      </c>
      <c r="B52" s="66">
        <v>46505.0</v>
      </c>
      <c r="C52" s="66">
        <v>46511.0</v>
      </c>
      <c r="D52" s="67">
        <f>SUMIF('03_日々の記録'!$C:$C,A52,'03_日々の記録'!$E:$E)</f>
        <v>0</v>
      </c>
      <c r="E52" s="68"/>
      <c r="F52" s="68"/>
      <c r="G52" s="69"/>
      <c r="H52" s="69"/>
      <c r="I52" s="69" t="s">
        <v>396</v>
      </c>
      <c r="J52" s="70"/>
      <c r="K52" s="65"/>
      <c r="L52" s="65"/>
      <c r="M52" s="65"/>
      <c r="N52" s="65"/>
      <c r="O52" s="65"/>
      <c r="P52" s="65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</row>
    <row r="53" ht="15.75" customHeight="1">
      <c r="A53" s="65">
        <v>45.0</v>
      </c>
      <c r="B53" s="66">
        <v>46512.0</v>
      </c>
      <c r="C53" s="66">
        <v>46518.0</v>
      </c>
      <c r="D53" s="67">
        <f>SUMIF('03_日々の記録'!$C:$C,A53,'03_日々の記録'!$E:$E)</f>
        <v>0</v>
      </c>
      <c r="E53" s="68"/>
      <c r="F53" s="68"/>
      <c r="G53" s="69"/>
      <c r="H53" s="69"/>
      <c r="I53" s="69" t="s">
        <v>396</v>
      </c>
      <c r="J53" s="70"/>
      <c r="K53" s="65"/>
      <c r="L53" s="65"/>
      <c r="M53" s="65"/>
      <c r="N53" s="65"/>
      <c r="O53" s="65"/>
      <c r="P53" s="65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</row>
    <row r="54" ht="15.75" customHeight="1">
      <c r="A54" s="65">
        <v>46.0</v>
      </c>
      <c r="B54" s="66">
        <v>46519.0</v>
      </c>
      <c r="C54" s="66">
        <v>46525.0</v>
      </c>
      <c r="D54" s="67">
        <f>SUMIF('03_日々の記録'!$C:$C,A54,'03_日々の記録'!$E:$E)</f>
        <v>0</v>
      </c>
      <c r="E54" s="68"/>
      <c r="F54" s="68"/>
      <c r="G54" s="69"/>
      <c r="H54" s="69"/>
      <c r="I54" s="69" t="s">
        <v>396</v>
      </c>
      <c r="J54" s="70"/>
      <c r="K54" s="65"/>
      <c r="L54" s="65"/>
      <c r="M54" s="65"/>
      <c r="N54" s="65"/>
      <c r="O54" s="65"/>
      <c r="P54" s="65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</row>
    <row r="55" ht="15.75" customHeight="1">
      <c r="A55" s="65">
        <v>47.0</v>
      </c>
      <c r="B55" s="66">
        <v>46526.0</v>
      </c>
      <c r="C55" s="66">
        <v>46532.0</v>
      </c>
      <c r="D55" s="67">
        <f>SUMIF('03_日々の記録'!$C:$C,A55,'03_日々の記録'!$E:$E)</f>
        <v>0</v>
      </c>
      <c r="E55" s="68"/>
      <c r="F55" s="68"/>
      <c r="G55" s="69"/>
      <c r="H55" s="69"/>
      <c r="I55" s="69" t="s">
        <v>396</v>
      </c>
      <c r="J55" s="70"/>
      <c r="K55" s="65"/>
      <c r="L55" s="65"/>
      <c r="M55" s="65"/>
      <c r="N55" s="65"/>
      <c r="O55" s="65"/>
      <c r="P55" s="65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</row>
    <row r="56" ht="15.75" customHeight="1">
      <c r="A56" s="65">
        <v>48.0</v>
      </c>
      <c r="B56" s="66">
        <v>46533.0</v>
      </c>
      <c r="C56" s="66">
        <v>46539.0</v>
      </c>
      <c r="D56" s="67">
        <f>SUMIF('03_日々の記録'!$C:$C,A56,'03_日々の記録'!$E:$E)</f>
        <v>0</v>
      </c>
      <c r="E56" s="68"/>
      <c r="F56" s="68"/>
      <c r="G56" s="69"/>
      <c r="H56" s="69"/>
      <c r="I56" s="69" t="s">
        <v>396</v>
      </c>
      <c r="J56" s="70"/>
      <c r="K56" s="65"/>
      <c r="L56" s="65"/>
      <c r="M56" s="65"/>
      <c r="N56" s="65"/>
      <c r="O56" s="65"/>
      <c r="P56" s="65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</row>
    <row r="57" ht="15.75" customHeight="1">
      <c r="A57" s="65">
        <v>49.0</v>
      </c>
      <c r="B57" s="66">
        <v>46540.0</v>
      </c>
      <c r="C57" s="66">
        <v>46546.0</v>
      </c>
      <c r="D57" s="67">
        <f>SUMIF('03_日々の記録'!$C:$C,A57,'03_日々の記録'!$E:$E)</f>
        <v>0</v>
      </c>
      <c r="E57" s="68"/>
      <c r="F57" s="68"/>
      <c r="G57" s="69"/>
      <c r="H57" s="69"/>
      <c r="I57" s="69" t="s">
        <v>396</v>
      </c>
      <c r="J57" s="70"/>
      <c r="K57" s="65"/>
      <c r="L57" s="65"/>
      <c r="M57" s="65"/>
      <c r="N57" s="65"/>
      <c r="O57" s="65"/>
      <c r="P57" s="65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</row>
    <row r="58" ht="15.75" customHeight="1">
      <c r="A58" s="65">
        <v>50.0</v>
      </c>
      <c r="B58" s="66">
        <v>46547.0</v>
      </c>
      <c r="C58" s="66">
        <v>46553.0</v>
      </c>
      <c r="D58" s="67">
        <f>SUMIF('03_日々の記録'!$C:$C,A58,'03_日々の記録'!$E:$E)</f>
        <v>0</v>
      </c>
      <c r="E58" s="68"/>
      <c r="F58" s="68"/>
      <c r="G58" s="69"/>
      <c r="H58" s="69"/>
      <c r="I58" s="69" t="s">
        <v>396</v>
      </c>
      <c r="J58" s="70"/>
      <c r="K58" s="65"/>
      <c r="L58" s="65"/>
      <c r="M58" s="65"/>
      <c r="N58" s="65"/>
      <c r="O58" s="65"/>
      <c r="P58" s="65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</row>
    <row r="59" ht="15.75" customHeight="1">
      <c r="A59" s="65">
        <v>51.0</v>
      </c>
      <c r="B59" s="66">
        <v>46554.0</v>
      </c>
      <c r="C59" s="66">
        <v>46560.0</v>
      </c>
      <c r="D59" s="67">
        <f>SUMIF('03_日々の記録'!$C:$C,A59,'03_日々の記録'!$E:$E)</f>
        <v>0</v>
      </c>
      <c r="E59" s="68"/>
      <c r="F59" s="68"/>
      <c r="G59" s="69"/>
      <c r="H59" s="69"/>
      <c r="I59" s="69" t="s">
        <v>396</v>
      </c>
      <c r="J59" s="70"/>
      <c r="K59" s="65"/>
      <c r="L59" s="65"/>
      <c r="M59" s="65"/>
      <c r="N59" s="65"/>
      <c r="O59" s="65"/>
      <c r="P59" s="65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</row>
    <row r="60" ht="15.75" customHeight="1">
      <c r="A60" s="65">
        <v>52.0</v>
      </c>
      <c r="B60" s="66">
        <v>46561.0</v>
      </c>
      <c r="C60" s="66">
        <v>46567.0</v>
      </c>
      <c r="D60" s="67">
        <f>SUMIF('03_日々の記録'!$C:$C,A60,'03_日々の記録'!$E:$E)</f>
        <v>0</v>
      </c>
      <c r="E60" s="68"/>
      <c r="F60" s="68"/>
      <c r="G60" s="69"/>
      <c r="H60" s="69"/>
      <c r="I60" s="69" t="s">
        <v>396</v>
      </c>
      <c r="J60" s="70"/>
      <c r="K60" s="65"/>
      <c r="L60" s="65"/>
      <c r="M60" s="65"/>
      <c r="N60" s="65"/>
      <c r="O60" s="65"/>
      <c r="P60" s="65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</row>
    <row r="61" ht="15.75" customHeight="1">
      <c r="A61" s="44">
        <v>53.0</v>
      </c>
      <c r="B61" s="76">
        <v>46568.0</v>
      </c>
      <c r="C61" s="76">
        <v>46574.0</v>
      </c>
      <c r="D61" s="77">
        <f>SUMIF('03_日々の記録'!$C:$C,A61,'03_日々の記録'!$E:$E)</f>
        <v>0</v>
      </c>
      <c r="E61" s="71"/>
      <c r="F61" s="71"/>
      <c r="G61" s="71"/>
      <c r="H61" s="71"/>
      <c r="I61" s="71" t="s">
        <v>396</v>
      </c>
      <c r="J61" s="78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</row>
    <row r="62" ht="15.75" customHeight="1">
      <c r="A62" s="44">
        <v>54.0</v>
      </c>
      <c r="B62" s="76">
        <v>46575.0</v>
      </c>
      <c r="C62" s="76">
        <v>46581.0</v>
      </c>
      <c r="D62" s="77">
        <f>SUMIF('03_日々の記録'!$C:$C,A62,'03_日々の記録'!$E:$E)</f>
        <v>0</v>
      </c>
      <c r="E62" s="71"/>
      <c r="F62" s="71"/>
      <c r="G62" s="71"/>
      <c r="H62" s="71"/>
      <c r="I62" s="71" t="s">
        <v>396</v>
      </c>
      <c r="J62" s="78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</row>
    <row r="63" ht="15.75" customHeight="1">
      <c r="A63" s="44">
        <v>55.0</v>
      </c>
      <c r="B63" s="76">
        <v>46582.0</v>
      </c>
      <c r="C63" s="76">
        <v>46588.0</v>
      </c>
      <c r="D63" s="77">
        <f>SUMIF('03_日々の記録'!$C:$C,A63,'03_日々の記録'!$E:$E)</f>
        <v>0</v>
      </c>
      <c r="E63" s="71"/>
      <c r="F63" s="71"/>
      <c r="G63" s="71"/>
      <c r="H63" s="71"/>
      <c r="I63" s="71" t="s">
        <v>396</v>
      </c>
      <c r="J63" s="78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</row>
    <row r="64" ht="15.75" customHeight="1">
      <c r="A64" s="44">
        <v>56.0</v>
      </c>
      <c r="B64" s="76">
        <v>46589.0</v>
      </c>
      <c r="C64" s="76">
        <v>46595.0</v>
      </c>
      <c r="D64" s="77">
        <f>SUMIF('03_日々の記録'!$C:$C,A64,'03_日々の記録'!$E:$E)</f>
        <v>0</v>
      </c>
      <c r="E64" s="71"/>
      <c r="F64" s="71"/>
      <c r="G64" s="71"/>
      <c r="H64" s="71"/>
      <c r="I64" s="71" t="s">
        <v>396</v>
      </c>
      <c r="J64" s="78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</row>
    <row r="65" ht="15.75" customHeight="1">
      <c r="A65" s="44">
        <v>57.0</v>
      </c>
      <c r="B65" s="76">
        <v>46596.0</v>
      </c>
      <c r="C65" s="76">
        <v>46602.0</v>
      </c>
      <c r="D65" s="77">
        <f>SUMIF('03_日々の記録'!$C:$C,A65,'03_日々の記録'!$E:$E)</f>
        <v>0</v>
      </c>
      <c r="E65" s="71"/>
      <c r="F65" s="71"/>
      <c r="G65" s="71"/>
      <c r="H65" s="71"/>
      <c r="I65" s="71" t="s">
        <v>396</v>
      </c>
      <c r="J65" s="78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</row>
    <row r="66" ht="15.75" customHeight="1">
      <c r="A66" s="44">
        <v>58.0</v>
      </c>
      <c r="B66" s="76">
        <v>46603.0</v>
      </c>
      <c r="C66" s="76">
        <v>46609.0</v>
      </c>
      <c r="D66" s="77">
        <f>SUMIF('03_日々の記録'!$C:$C,A66,'03_日々の記録'!$E:$E)</f>
        <v>0</v>
      </c>
      <c r="E66" s="71"/>
      <c r="F66" s="71"/>
      <c r="G66" s="71"/>
      <c r="H66" s="71"/>
      <c r="I66" s="71" t="s">
        <v>396</v>
      </c>
      <c r="J66" s="78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4"/>
    </row>
    <row r="67" ht="15.75" customHeight="1">
      <c r="A67" s="44">
        <v>59.0</v>
      </c>
      <c r="B67" s="76">
        <v>46610.0</v>
      </c>
      <c r="C67" s="76">
        <v>46616.0</v>
      </c>
      <c r="D67" s="77">
        <f>SUMIF('03_日々の記録'!$C:$C,A67,'03_日々の記録'!$E:$E)</f>
        <v>0</v>
      </c>
      <c r="E67" s="71"/>
      <c r="F67" s="71"/>
      <c r="G67" s="71"/>
      <c r="H67" s="71"/>
      <c r="I67" s="71" t="s">
        <v>396</v>
      </c>
      <c r="J67" s="78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</row>
    <row r="68" ht="15.75" customHeight="1">
      <c r="A68" s="44">
        <v>60.0</v>
      </c>
      <c r="B68" s="76">
        <v>46617.0</v>
      </c>
      <c r="C68" s="76">
        <v>46623.0</v>
      </c>
      <c r="D68" s="77">
        <f>SUMIF('03_日々の記録'!$C:$C,A68,'03_日々の記録'!$E:$E)</f>
        <v>0</v>
      </c>
      <c r="E68" s="71"/>
      <c r="F68" s="71"/>
      <c r="G68" s="71"/>
      <c r="H68" s="71"/>
      <c r="I68" s="71" t="s">
        <v>396</v>
      </c>
      <c r="J68" s="78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</row>
    <row r="69" ht="15.75" customHeight="1">
      <c r="A69" s="44">
        <v>61.0</v>
      </c>
      <c r="B69" s="76">
        <v>46624.0</v>
      </c>
      <c r="C69" s="76">
        <v>46630.0</v>
      </c>
      <c r="D69" s="77">
        <f>SUMIF('03_日々の記録'!$C:$C,A69,'03_日々の記録'!$E:$E)</f>
        <v>0</v>
      </c>
      <c r="E69" s="71"/>
      <c r="F69" s="71"/>
      <c r="G69" s="71"/>
      <c r="H69" s="71"/>
      <c r="I69" s="71" t="s">
        <v>396</v>
      </c>
      <c r="J69" s="78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</row>
    <row r="70" ht="15.75" customHeight="1">
      <c r="A70" s="44">
        <v>62.0</v>
      </c>
      <c r="B70" s="76">
        <v>46631.0</v>
      </c>
      <c r="C70" s="76">
        <v>46637.0</v>
      </c>
      <c r="D70" s="77">
        <f>SUMIF('03_日々の記録'!$C:$C,A70,'03_日々の記録'!$E:$E)</f>
        <v>0</v>
      </c>
      <c r="E70" s="71"/>
      <c r="F70" s="71"/>
      <c r="G70" s="71"/>
      <c r="H70" s="71"/>
      <c r="I70" s="71" t="s">
        <v>396</v>
      </c>
      <c r="J70" s="78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</row>
    <row r="71" ht="15.75" customHeight="1">
      <c r="A71" s="44">
        <v>63.0</v>
      </c>
      <c r="B71" s="76">
        <v>46638.0</v>
      </c>
      <c r="C71" s="76">
        <v>46644.0</v>
      </c>
      <c r="D71" s="77">
        <f>SUMIF('03_日々の記録'!$C:$C,A71,'03_日々の記録'!$E:$E)</f>
        <v>0</v>
      </c>
      <c r="E71" s="71"/>
      <c r="F71" s="71"/>
      <c r="G71" s="71"/>
      <c r="H71" s="71"/>
      <c r="I71" s="71" t="s">
        <v>396</v>
      </c>
      <c r="J71" s="78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</row>
    <row r="72" ht="15.75" customHeight="1">
      <c r="A72" s="44">
        <v>64.0</v>
      </c>
      <c r="B72" s="76">
        <v>46645.0</v>
      </c>
      <c r="C72" s="76">
        <v>46651.0</v>
      </c>
      <c r="D72" s="77">
        <f>SUMIF('03_日々の記録'!$C:$C,A72,'03_日々の記録'!$E:$E)</f>
        <v>0</v>
      </c>
      <c r="E72" s="71"/>
      <c r="F72" s="71"/>
      <c r="G72" s="71"/>
      <c r="H72" s="71"/>
      <c r="I72" s="71" t="s">
        <v>396</v>
      </c>
      <c r="J72" s="78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</row>
    <row r="73" ht="15.75" customHeight="1">
      <c r="A73" s="44">
        <v>65.0</v>
      </c>
      <c r="B73" s="76">
        <v>46652.0</v>
      </c>
      <c r="C73" s="76">
        <v>46658.0</v>
      </c>
      <c r="D73" s="77">
        <f>SUMIF('03_日々の記録'!$C:$C,A73,'03_日々の記録'!$E:$E)</f>
        <v>0</v>
      </c>
      <c r="E73" s="71"/>
      <c r="F73" s="71"/>
      <c r="G73" s="71"/>
      <c r="H73" s="71"/>
      <c r="I73" s="71" t="s">
        <v>396</v>
      </c>
      <c r="J73" s="78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</row>
    <row r="74" ht="15.75" customHeight="1">
      <c r="A74" s="44">
        <v>66.0</v>
      </c>
      <c r="B74" s="76">
        <v>46659.0</v>
      </c>
      <c r="C74" s="76">
        <v>46665.0</v>
      </c>
      <c r="D74" s="77">
        <f>SUMIF('03_日々の記録'!$C:$C,A74,'03_日々の記録'!$E:$E)</f>
        <v>0</v>
      </c>
      <c r="E74" s="71"/>
      <c r="F74" s="71"/>
      <c r="G74" s="71"/>
      <c r="H74" s="71"/>
      <c r="I74" s="71" t="s">
        <v>396</v>
      </c>
      <c r="J74" s="78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  <c r="AG74" s="44"/>
    </row>
    <row r="75" ht="15.75" customHeight="1">
      <c r="A75" s="44">
        <v>67.0</v>
      </c>
      <c r="B75" s="76">
        <v>46666.0</v>
      </c>
      <c r="C75" s="76">
        <v>46672.0</v>
      </c>
      <c r="D75" s="77">
        <f>SUMIF('03_日々の記録'!$C:$C,A75,'03_日々の記録'!$E:$E)</f>
        <v>0</v>
      </c>
      <c r="E75" s="71"/>
      <c r="F75" s="71"/>
      <c r="G75" s="71"/>
      <c r="H75" s="71"/>
      <c r="I75" s="71" t="s">
        <v>396</v>
      </c>
      <c r="J75" s="78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44"/>
    </row>
    <row r="76" ht="15.75" customHeight="1">
      <c r="A76" s="44">
        <v>68.0</v>
      </c>
      <c r="B76" s="76">
        <v>46673.0</v>
      </c>
      <c r="C76" s="76">
        <v>46679.0</v>
      </c>
      <c r="D76" s="77">
        <f>SUMIF('03_日々の記録'!$C:$C,A76,'03_日々の記録'!$E:$E)</f>
        <v>0</v>
      </c>
      <c r="E76" s="71"/>
      <c r="F76" s="71"/>
      <c r="G76" s="71"/>
      <c r="H76" s="71"/>
      <c r="I76" s="71" t="s">
        <v>396</v>
      </c>
      <c r="J76" s="78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44"/>
    </row>
    <row r="77" ht="15.75" customHeight="1">
      <c r="A77" s="44">
        <v>69.0</v>
      </c>
      <c r="B77" s="76">
        <v>46680.0</v>
      </c>
      <c r="C77" s="76">
        <v>46686.0</v>
      </c>
      <c r="D77" s="77">
        <f>SUMIF('03_日々の記録'!$C:$C,A77,'03_日々の記録'!$E:$E)</f>
        <v>0</v>
      </c>
      <c r="E77" s="71"/>
      <c r="F77" s="71"/>
      <c r="G77" s="71"/>
      <c r="H77" s="71"/>
      <c r="I77" s="71" t="s">
        <v>396</v>
      </c>
      <c r="J77" s="78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  <c r="AG77" s="44"/>
    </row>
    <row r="78" ht="15.75" customHeight="1">
      <c r="A78" s="44">
        <v>70.0</v>
      </c>
      <c r="B78" s="76">
        <v>46687.0</v>
      </c>
      <c r="C78" s="76">
        <v>46693.0</v>
      </c>
      <c r="D78" s="77">
        <f>SUMIF('03_日々の記録'!$C:$C,A78,'03_日々の記録'!$E:$E)</f>
        <v>0</v>
      </c>
      <c r="E78" s="71"/>
      <c r="F78" s="71"/>
      <c r="G78" s="71"/>
      <c r="H78" s="71"/>
      <c r="I78" s="71" t="s">
        <v>396</v>
      </c>
      <c r="J78" s="78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4"/>
      <c r="AG78" s="44"/>
    </row>
    <row r="79" ht="15.75" customHeight="1">
      <c r="A79" s="44">
        <v>71.0</v>
      </c>
      <c r="B79" s="76">
        <v>46694.0</v>
      </c>
      <c r="C79" s="76">
        <v>46700.0</v>
      </c>
      <c r="D79" s="77">
        <f>SUMIF('03_日々の記録'!$C:$C,A79,'03_日々の記録'!$E:$E)</f>
        <v>0</v>
      </c>
      <c r="E79" s="71"/>
      <c r="F79" s="71"/>
      <c r="G79" s="71"/>
      <c r="H79" s="71"/>
      <c r="I79" s="71" t="s">
        <v>396</v>
      </c>
      <c r="J79" s="78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44"/>
    </row>
    <row r="80" ht="15.75" customHeight="1">
      <c r="A80" s="44">
        <v>72.0</v>
      </c>
      <c r="B80" s="76">
        <v>46701.0</v>
      </c>
      <c r="C80" s="76">
        <v>46707.0</v>
      </c>
      <c r="D80" s="77">
        <f>SUMIF('03_日々の記録'!$C:$C,A80,'03_日々の記録'!$E:$E)</f>
        <v>0</v>
      </c>
      <c r="E80" s="71"/>
      <c r="F80" s="71"/>
      <c r="G80" s="71"/>
      <c r="H80" s="71"/>
      <c r="I80" s="71" t="s">
        <v>396</v>
      </c>
      <c r="J80" s="78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44"/>
      <c r="AG80" s="44"/>
    </row>
    <row r="81" ht="15.75" customHeight="1">
      <c r="A81" s="79">
        <v>73.0</v>
      </c>
      <c r="B81" s="80">
        <v>46708.0</v>
      </c>
      <c r="C81" s="80">
        <v>46714.0</v>
      </c>
      <c r="D81" s="81">
        <f>SUMIF('03_日々の記録'!$C:$C,A81,'03_日々の記録'!$E:$E)</f>
        <v>0</v>
      </c>
      <c r="E81" s="71"/>
      <c r="F81" s="71"/>
      <c r="G81" s="71"/>
      <c r="H81" s="71"/>
      <c r="I81" s="71" t="s">
        <v>396</v>
      </c>
      <c r="J81" s="78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</row>
    <row r="82" ht="15.75" customHeight="1">
      <c r="A82" s="79">
        <v>74.0</v>
      </c>
      <c r="B82" s="80">
        <v>46715.0</v>
      </c>
      <c r="C82" s="80">
        <v>46721.0</v>
      </c>
      <c r="D82" s="81">
        <f>SUMIF('03_日々の記録'!$C:$C,A82,'03_日々の記録'!$E:$E)</f>
        <v>0</v>
      </c>
      <c r="E82" s="71"/>
      <c r="F82" s="71"/>
      <c r="G82" s="71"/>
      <c r="H82" s="71"/>
      <c r="I82" s="71" t="s">
        <v>396</v>
      </c>
      <c r="J82" s="78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</row>
    <row r="83" ht="15.75" customHeight="1">
      <c r="A83" s="79">
        <v>75.0</v>
      </c>
      <c r="B83" s="80">
        <v>46722.0</v>
      </c>
      <c r="C83" s="80">
        <v>46728.0</v>
      </c>
      <c r="D83" s="81">
        <f>SUMIF('03_日々の記録'!$C:$C,A83,'03_日々の記録'!$E:$E)</f>
        <v>0</v>
      </c>
      <c r="E83" s="71"/>
      <c r="F83" s="71"/>
      <c r="G83" s="71"/>
      <c r="H83" s="71"/>
      <c r="I83" s="71" t="s">
        <v>396</v>
      </c>
      <c r="J83" s="78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</row>
    <row r="84" ht="15.75" customHeight="1">
      <c r="A84" s="79">
        <v>76.0</v>
      </c>
      <c r="B84" s="80">
        <v>46729.0</v>
      </c>
      <c r="C84" s="80">
        <v>46735.0</v>
      </c>
      <c r="D84" s="81">
        <f>SUMIF('03_日々の記録'!$C:$C,A84,'03_日々の記録'!$E:$E)</f>
        <v>0</v>
      </c>
      <c r="E84" s="71"/>
      <c r="F84" s="71"/>
      <c r="G84" s="71"/>
      <c r="H84" s="71"/>
      <c r="I84" s="71" t="s">
        <v>396</v>
      </c>
      <c r="J84" s="78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</row>
    <row r="85" ht="15.75" customHeight="1">
      <c r="A85" s="79">
        <v>77.0</v>
      </c>
      <c r="B85" s="80">
        <v>46736.0</v>
      </c>
      <c r="C85" s="80">
        <v>46742.0</v>
      </c>
      <c r="D85" s="81">
        <f>SUMIF('03_日々の記録'!$C:$C,A85,'03_日々の記録'!$E:$E)</f>
        <v>0</v>
      </c>
      <c r="E85" s="71"/>
      <c r="F85" s="71"/>
      <c r="G85" s="71"/>
      <c r="H85" s="71"/>
      <c r="I85" s="71" t="s">
        <v>396</v>
      </c>
      <c r="J85" s="78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</row>
    <row r="86" ht="15.75" customHeight="1">
      <c r="A86" s="79">
        <v>78.0</v>
      </c>
      <c r="B86" s="80">
        <v>46743.0</v>
      </c>
      <c r="C86" s="80">
        <v>46749.0</v>
      </c>
      <c r="D86" s="81">
        <f>SUMIF('03_日々の記録'!$C:$C,A86,'03_日々の記録'!$E:$E)</f>
        <v>0</v>
      </c>
      <c r="E86" s="71"/>
      <c r="F86" s="71"/>
      <c r="G86" s="71"/>
      <c r="H86" s="71"/>
      <c r="I86" s="71" t="s">
        <v>396</v>
      </c>
      <c r="J86" s="78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</row>
    <row r="87" ht="15.75" customHeight="1">
      <c r="A87" s="79">
        <v>79.0</v>
      </c>
      <c r="B87" s="80">
        <v>46750.0</v>
      </c>
      <c r="C87" s="80">
        <v>46756.0</v>
      </c>
      <c r="D87" s="81">
        <f>SUMIF('03_日々の記録'!$C:$C,A87,'03_日々の記録'!$E:$E)</f>
        <v>0</v>
      </c>
      <c r="E87" s="71"/>
      <c r="F87" s="71"/>
      <c r="G87" s="71"/>
      <c r="H87" s="71"/>
      <c r="I87" s="71" t="s">
        <v>396</v>
      </c>
      <c r="J87" s="78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</row>
    <row r="88" ht="15.75" customHeight="1">
      <c r="A88" s="79">
        <v>80.0</v>
      </c>
      <c r="B88" s="80">
        <v>46757.0</v>
      </c>
      <c r="C88" s="80">
        <v>46763.0</v>
      </c>
      <c r="D88" s="81">
        <f>SUMIF('03_日々の記録'!$C:$C,A88,'03_日々の記録'!$E:$E)</f>
        <v>0</v>
      </c>
      <c r="E88" s="71"/>
      <c r="F88" s="71"/>
      <c r="G88" s="71"/>
      <c r="H88" s="71"/>
      <c r="I88" s="71" t="s">
        <v>396</v>
      </c>
      <c r="J88" s="78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</row>
    <row r="89" ht="15.75" customHeight="1">
      <c r="A89" s="79">
        <v>81.0</v>
      </c>
      <c r="B89" s="80">
        <v>46764.0</v>
      </c>
      <c r="C89" s="80">
        <v>46770.0</v>
      </c>
      <c r="D89" s="81">
        <f>SUMIF('03_日々の記録'!$C:$C,A89,'03_日々の記録'!$E:$E)</f>
        <v>0</v>
      </c>
      <c r="E89" s="71"/>
      <c r="F89" s="71"/>
      <c r="G89" s="71"/>
      <c r="H89" s="71"/>
      <c r="I89" s="71" t="s">
        <v>396</v>
      </c>
      <c r="J89" s="78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</row>
    <row r="90" ht="15.75" customHeight="1">
      <c r="A90" s="79">
        <v>82.0</v>
      </c>
      <c r="B90" s="80">
        <v>46771.0</v>
      </c>
      <c r="C90" s="80">
        <v>46777.0</v>
      </c>
      <c r="D90" s="81">
        <f>SUMIF('03_日々の記録'!$C:$C,A90,'03_日々の記録'!$E:$E)</f>
        <v>0</v>
      </c>
      <c r="E90" s="71"/>
      <c r="F90" s="71"/>
      <c r="G90" s="71"/>
      <c r="H90" s="71"/>
      <c r="I90" s="71" t="s">
        <v>396</v>
      </c>
      <c r="J90" s="78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</row>
    <row r="91" ht="15.75" customHeight="1">
      <c r="A91" s="79">
        <v>83.0</v>
      </c>
      <c r="B91" s="80">
        <v>46778.0</v>
      </c>
      <c r="C91" s="80">
        <v>46784.0</v>
      </c>
      <c r="D91" s="81">
        <f>SUMIF('03_日々の記録'!$C:$C,A91,'03_日々の記録'!$E:$E)</f>
        <v>0</v>
      </c>
      <c r="E91" s="71"/>
      <c r="F91" s="71"/>
      <c r="G91" s="71"/>
      <c r="H91" s="71"/>
      <c r="I91" s="71" t="s">
        <v>396</v>
      </c>
      <c r="J91" s="78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</row>
    <row r="92" ht="15.75" customHeight="1">
      <c r="A92" s="79">
        <v>84.0</v>
      </c>
      <c r="B92" s="80">
        <v>46785.0</v>
      </c>
      <c r="C92" s="80">
        <v>46791.0</v>
      </c>
      <c r="D92" s="81">
        <f>SUMIF('03_日々の記録'!$C:$C,A92,'03_日々の記録'!$E:$E)</f>
        <v>0</v>
      </c>
      <c r="E92" s="71"/>
      <c r="F92" s="71"/>
      <c r="G92" s="71"/>
      <c r="H92" s="71"/>
      <c r="I92" s="71" t="s">
        <v>396</v>
      </c>
      <c r="J92" s="78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</row>
    <row r="93" ht="15.75" customHeight="1">
      <c r="A93" s="79">
        <v>85.0</v>
      </c>
      <c r="B93" s="80">
        <v>46792.0</v>
      </c>
      <c r="C93" s="80">
        <v>46798.0</v>
      </c>
      <c r="D93" s="81">
        <f>SUMIF('03_日々の記録'!$C:$C,A93,'03_日々の記録'!$E:$E)</f>
        <v>0</v>
      </c>
      <c r="E93" s="71"/>
      <c r="F93" s="71"/>
      <c r="G93" s="71"/>
      <c r="H93" s="71"/>
      <c r="I93" s="71" t="s">
        <v>396</v>
      </c>
      <c r="J93" s="78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</row>
    <row r="94" ht="15.75" customHeight="1">
      <c r="A94" s="79">
        <v>86.0</v>
      </c>
      <c r="B94" s="80">
        <v>46799.0</v>
      </c>
      <c r="C94" s="80">
        <v>46805.0</v>
      </c>
      <c r="D94" s="81">
        <f>SUMIF('03_日々の記録'!$C:$C,A94,'03_日々の記録'!$E:$E)</f>
        <v>0</v>
      </c>
      <c r="E94" s="71"/>
      <c r="F94" s="71"/>
      <c r="G94" s="71"/>
      <c r="H94" s="71"/>
      <c r="I94" s="71" t="s">
        <v>396</v>
      </c>
      <c r="J94" s="78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</row>
    <row r="95" ht="15.75" customHeight="1">
      <c r="A95" s="79">
        <v>87.0</v>
      </c>
      <c r="B95" s="80">
        <v>46806.0</v>
      </c>
      <c r="C95" s="80">
        <v>46812.0</v>
      </c>
      <c r="D95" s="81">
        <f>SUMIF('03_日々の記録'!$C:$C,A95,'03_日々の記録'!$E:$E)</f>
        <v>0</v>
      </c>
      <c r="E95" s="71"/>
      <c r="F95" s="71"/>
      <c r="G95" s="71"/>
      <c r="H95" s="71"/>
      <c r="I95" s="71" t="s">
        <v>396</v>
      </c>
      <c r="J95" s="78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</row>
    <row r="96" ht="15.75" customHeight="1">
      <c r="A96" s="79">
        <v>88.0</v>
      </c>
      <c r="B96" s="80">
        <v>46813.0</v>
      </c>
      <c r="C96" s="80">
        <v>46819.0</v>
      </c>
      <c r="D96" s="81">
        <f>SUMIF('03_日々の記録'!$C:$C,A96,'03_日々の記録'!$E:$E)</f>
        <v>0</v>
      </c>
      <c r="E96" s="71"/>
      <c r="F96" s="71"/>
      <c r="G96" s="71"/>
      <c r="H96" s="71"/>
      <c r="I96" s="71" t="s">
        <v>396</v>
      </c>
      <c r="J96" s="78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</row>
    <row r="97" ht="15.75" customHeight="1">
      <c r="A97" s="79">
        <v>89.0</v>
      </c>
      <c r="B97" s="80">
        <v>46820.0</v>
      </c>
      <c r="C97" s="80">
        <v>46826.0</v>
      </c>
      <c r="D97" s="81">
        <f>SUMIF('03_日々の記録'!$C:$C,A97,'03_日々の記録'!$E:$E)</f>
        <v>0</v>
      </c>
      <c r="E97" s="71"/>
      <c r="F97" s="71"/>
      <c r="G97" s="71"/>
      <c r="H97" s="71"/>
      <c r="I97" s="71" t="s">
        <v>396</v>
      </c>
      <c r="J97" s="78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</row>
    <row r="98" ht="15.75" customHeight="1">
      <c r="A98" s="79">
        <v>90.0</v>
      </c>
      <c r="B98" s="80">
        <v>46827.0</v>
      </c>
      <c r="C98" s="80">
        <v>46833.0</v>
      </c>
      <c r="D98" s="81">
        <f>SUMIF('03_日々の記録'!$C:$C,A98,'03_日々の記録'!$E:$E)</f>
        <v>0</v>
      </c>
      <c r="E98" s="71"/>
      <c r="F98" s="71"/>
      <c r="G98" s="71"/>
      <c r="H98" s="71"/>
      <c r="I98" s="71" t="s">
        <v>396</v>
      </c>
      <c r="J98" s="78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</row>
    <row r="99" ht="15.75" customHeight="1">
      <c r="A99" s="79">
        <v>91.0</v>
      </c>
      <c r="B99" s="80">
        <v>46834.0</v>
      </c>
      <c r="C99" s="80">
        <v>46840.0</v>
      </c>
      <c r="D99" s="81">
        <f>SUMIF('03_日々の記録'!$C:$C,A99,'03_日々の記録'!$E:$E)</f>
        <v>0</v>
      </c>
      <c r="E99" s="71"/>
      <c r="F99" s="71"/>
      <c r="G99" s="71"/>
      <c r="H99" s="71"/>
      <c r="I99" s="71" t="s">
        <v>396</v>
      </c>
      <c r="J99" s="78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</row>
    <row r="100" ht="15.75" customHeight="1">
      <c r="A100" s="79">
        <v>92.0</v>
      </c>
      <c r="B100" s="80">
        <v>46841.0</v>
      </c>
      <c r="C100" s="80">
        <v>46847.0</v>
      </c>
      <c r="D100" s="81">
        <f>SUMIF('03_日々の記録'!$C:$C,A100,'03_日々の記録'!$E:$E)</f>
        <v>0</v>
      </c>
      <c r="E100" s="71"/>
      <c r="F100" s="71"/>
      <c r="G100" s="71"/>
      <c r="H100" s="71"/>
      <c r="I100" s="71" t="s">
        <v>396</v>
      </c>
      <c r="J100" s="78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</row>
    <row r="101" ht="15.75" customHeight="1">
      <c r="A101" s="79">
        <v>93.0</v>
      </c>
      <c r="B101" s="80">
        <v>46848.0</v>
      </c>
      <c r="C101" s="80">
        <v>46854.0</v>
      </c>
      <c r="D101" s="81">
        <f>SUMIF('03_日々の記録'!$C:$C,A101,'03_日々の記録'!$E:$E)</f>
        <v>0</v>
      </c>
      <c r="E101" s="71"/>
      <c r="F101" s="71"/>
      <c r="G101" s="71"/>
      <c r="H101" s="71"/>
      <c r="I101" s="71" t="s">
        <v>396</v>
      </c>
      <c r="J101" s="78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</row>
    <row r="102" ht="15.75" customHeight="1">
      <c r="A102" s="79">
        <v>94.0</v>
      </c>
      <c r="B102" s="80">
        <v>46855.0</v>
      </c>
      <c r="C102" s="80">
        <v>46861.0</v>
      </c>
      <c r="D102" s="81">
        <f>SUMIF('03_日々の記録'!$C:$C,A102,'03_日々の記録'!$E:$E)</f>
        <v>0</v>
      </c>
      <c r="E102" s="71"/>
      <c r="F102" s="71"/>
      <c r="G102" s="71"/>
      <c r="H102" s="71"/>
      <c r="I102" s="71" t="s">
        <v>396</v>
      </c>
      <c r="J102" s="78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</row>
    <row r="103" ht="15.75" customHeight="1">
      <c r="A103" s="79">
        <v>95.0</v>
      </c>
      <c r="B103" s="80">
        <v>46862.0</v>
      </c>
      <c r="C103" s="80">
        <v>46868.0</v>
      </c>
      <c r="D103" s="81">
        <f>SUMIF('03_日々の記録'!$C:$C,A103,'03_日々の記録'!$E:$E)</f>
        <v>0</v>
      </c>
      <c r="E103" s="71"/>
      <c r="F103" s="71"/>
      <c r="G103" s="71"/>
      <c r="H103" s="71"/>
      <c r="I103" s="71" t="s">
        <v>396</v>
      </c>
      <c r="J103" s="78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</row>
    <row r="104" ht="15.75" customHeight="1">
      <c r="A104" s="79">
        <v>96.0</v>
      </c>
      <c r="B104" s="80">
        <v>46869.0</v>
      </c>
      <c r="C104" s="80">
        <v>46875.0</v>
      </c>
      <c r="D104" s="81">
        <f>SUMIF('03_日々の記録'!$C:$C,A104,'03_日々の記録'!$E:$E)</f>
        <v>0</v>
      </c>
      <c r="E104" s="71"/>
      <c r="F104" s="71"/>
      <c r="G104" s="71"/>
      <c r="H104" s="71"/>
      <c r="I104" s="71" t="s">
        <v>396</v>
      </c>
      <c r="J104" s="78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</row>
    <row r="105" ht="15.75" customHeight="1">
      <c r="A105" s="79">
        <v>97.0</v>
      </c>
      <c r="B105" s="80">
        <v>46876.0</v>
      </c>
      <c r="C105" s="80">
        <v>46882.0</v>
      </c>
      <c r="D105" s="81">
        <f>SUMIF('03_日々の記録'!$C:$C,A105,'03_日々の記録'!$E:$E)</f>
        <v>0</v>
      </c>
      <c r="E105" s="71"/>
      <c r="F105" s="71"/>
      <c r="G105" s="71"/>
      <c r="H105" s="71"/>
      <c r="I105" s="71" t="s">
        <v>396</v>
      </c>
      <c r="J105" s="78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</row>
    <row r="106" ht="15.75" customHeight="1">
      <c r="A106" s="79">
        <v>98.0</v>
      </c>
      <c r="B106" s="80">
        <v>46883.0</v>
      </c>
      <c r="C106" s="80">
        <v>46889.0</v>
      </c>
      <c r="D106" s="81">
        <f>SUMIF('03_日々の記録'!$C:$C,A106,'03_日々の記録'!$E:$E)</f>
        <v>0</v>
      </c>
      <c r="E106" s="71"/>
      <c r="F106" s="71"/>
      <c r="G106" s="71"/>
      <c r="H106" s="71"/>
      <c r="I106" s="71" t="s">
        <v>396</v>
      </c>
      <c r="J106" s="78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</row>
    <row r="107" ht="15.75" customHeight="1">
      <c r="A107" s="79">
        <v>99.0</v>
      </c>
      <c r="B107" s="80">
        <v>46890.0</v>
      </c>
      <c r="C107" s="80">
        <v>46896.0</v>
      </c>
      <c r="D107" s="81">
        <f>SUMIF('03_日々の記録'!$C:$C,A107,'03_日々の記録'!$E:$E)</f>
        <v>0</v>
      </c>
      <c r="E107" s="71"/>
      <c r="F107" s="71"/>
      <c r="G107" s="71"/>
      <c r="H107" s="71"/>
      <c r="I107" s="71" t="s">
        <v>396</v>
      </c>
      <c r="J107" s="78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</row>
    <row r="108" ht="15.75" customHeight="1">
      <c r="A108" s="79">
        <v>100.0</v>
      </c>
      <c r="B108" s="80">
        <v>46897.0</v>
      </c>
      <c r="C108" s="80">
        <v>46903.0</v>
      </c>
      <c r="D108" s="81">
        <f>SUMIF('03_日々の記録'!$C:$C,A108,'03_日々の記録'!$E:$E)</f>
        <v>0</v>
      </c>
      <c r="E108" s="71"/>
      <c r="F108" s="71"/>
      <c r="G108" s="71"/>
      <c r="H108" s="71"/>
      <c r="I108" s="71" t="s">
        <v>396</v>
      </c>
      <c r="J108" s="78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</row>
    <row r="109" ht="15.75" customHeight="1">
      <c r="A109" s="79">
        <v>101.0</v>
      </c>
      <c r="B109" s="80">
        <v>46904.0</v>
      </c>
      <c r="C109" s="80">
        <v>46910.0</v>
      </c>
      <c r="D109" s="81">
        <f>SUMIF('03_日々の記録'!$C:$C,A109,'03_日々の記録'!$E:$E)</f>
        <v>0</v>
      </c>
      <c r="E109" s="71"/>
      <c r="F109" s="71"/>
      <c r="G109" s="71"/>
      <c r="H109" s="71"/>
      <c r="I109" s="71" t="s">
        <v>396</v>
      </c>
      <c r="J109" s="78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</row>
    <row r="110" ht="15.75" customHeight="1">
      <c r="A110" s="79">
        <v>102.0</v>
      </c>
      <c r="B110" s="80">
        <v>46911.0</v>
      </c>
      <c r="C110" s="80">
        <v>46917.0</v>
      </c>
      <c r="D110" s="81">
        <f>SUMIF('03_日々の記録'!$C:$C,A110,'03_日々の記録'!$E:$E)</f>
        <v>0</v>
      </c>
      <c r="E110" s="71"/>
      <c r="F110" s="71"/>
      <c r="G110" s="71"/>
      <c r="H110" s="71"/>
      <c r="I110" s="71" t="s">
        <v>396</v>
      </c>
      <c r="J110" s="78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</row>
    <row r="111" ht="15.75" customHeight="1">
      <c r="A111" s="79">
        <v>103.0</v>
      </c>
      <c r="B111" s="80">
        <v>46918.0</v>
      </c>
      <c r="C111" s="80">
        <v>46924.0</v>
      </c>
      <c r="D111" s="81">
        <f>SUMIF('03_日々の記録'!$C:$C,A111,'03_日々の記録'!$E:$E)</f>
        <v>0</v>
      </c>
      <c r="E111" s="71"/>
      <c r="F111" s="71"/>
      <c r="G111" s="71"/>
      <c r="H111" s="71"/>
      <c r="I111" s="71" t="s">
        <v>396</v>
      </c>
      <c r="J111" s="78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</row>
    <row r="112" ht="15.75" customHeight="1">
      <c r="A112" s="79">
        <v>104.0</v>
      </c>
      <c r="B112" s="80">
        <v>46925.0</v>
      </c>
      <c r="C112" s="80">
        <v>46931.0</v>
      </c>
      <c r="D112" s="81">
        <f>SUMIF('03_日々の記録'!$C:$C,A112,'03_日々の記録'!$E:$E)</f>
        <v>0</v>
      </c>
      <c r="E112" s="71"/>
      <c r="F112" s="71"/>
      <c r="G112" s="71"/>
      <c r="H112" s="71"/>
      <c r="I112" s="71" t="s">
        <v>396</v>
      </c>
      <c r="J112" s="78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</row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U1"/>
    <mergeCell ref="A2:U3"/>
    <mergeCell ref="A7:J7"/>
    <mergeCell ref="L7:U7"/>
  </mergeCells>
  <conditionalFormatting sqref="P9:P60">
    <cfRule type="expression" dxfId="8" priority="1">
      <formula>P9="完了"</formula>
    </cfRule>
  </conditionalFormatting>
  <conditionalFormatting sqref="P9:P60">
    <cfRule type="expression" dxfId="9" priority="2">
      <formula>P9="進行中"</formula>
    </cfRule>
  </conditionalFormatting>
  <conditionalFormatting sqref="AG9:AG32">
    <cfRule type="expression" dxfId="8" priority="3">
      <formula>AG9="完了"</formula>
    </cfRule>
  </conditionalFormatting>
  <conditionalFormatting sqref="AG9:AG32">
    <cfRule type="expression" dxfId="9" priority="4">
      <formula>AG9="進行中"</formula>
    </cfRule>
  </conditionalFormatting>
  <conditionalFormatting sqref="I9:I112">
    <cfRule type="expression" dxfId="18" priority="5">
      <formula>I9="相談したい"</formula>
    </cfRule>
  </conditionalFormatting>
  <conditionalFormatting sqref="I9:I112">
    <cfRule type="expression" dxfId="19" priority="6">
      <formula>I9="止まりそう"</formula>
    </cfRule>
  </conditionalFormatting>
  <conditionalFormatting sqref="I9:I112">
    <cfRule type="expression" dxfId="9" priority="7">
      <formula>I9="少し危ない"</formula>
    </cfRule>
  </conditionalFormatting>
  <conditionalFormatting sqref="I9:I112">
    <cfRule type="expression" dxfId="8" priority="8">
      <formula>I9="順調"</formula>
    </cfRule>
  </conditionalFormatting>
  <conditionalFormatting sqref="S9:S32">
    <cfRule type="expression" dxfId="18" priority="9">
      <formula>S9="相談したい"</formula>
    </cfRule>
  </conditionalFormatting>
  <conditionalFormatting sqref="S9:S32">
    <cfRule type="expression" dxfId="9" priority="10">
      <formula>S9="少し危ない"</formula>
    </cfRule>
  </conditionalFormatting>
  <conditionalFormatting sqref="S9:S32">
    <cfRule type="expression" dxfId="8" priority="11">
      <formula>S9="順調"</formula>
    </cfRule>
  </conditionalFormatting>
  <dataValidations>
    <dataValidation type="list" allowBlank="1" sqref="AF9:AF32 O9:O60">
      <formula1>"1,2,3,4,5"</formula1>
    </dataValidation>
    <dataValidation type="list" allowBlank="1" sqref="S9:S32">
      <formula1>'05_週報月報'!$Y$2:$Y$7</formula1>
    </dataValidation>
    <dataValidation type="list" allowBlank="1" sqref="F9:F112">
      <formula1>'05_週報月報'!$W$2:$W$8</formula1>
    </dataValidation>
    <dataValidation type="list" allowBlank="1" sqref="AG9:AG32 P9:P60">
      <formula1>'04_行動変容ワーク'!$P$2:$P$6</formula1>
    </dataValidation>
    <dataValidation type="list" allowBlank="1" sqref="I9:I112">
      <formula1>'05_週報月報'!$X$2:$X$6</formula1>
    </dataValidation>
  </dataValidation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